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vaya list" sheetId="2" state="visible" r:id="rId4"/>
    <sheet name="Bonus finds" sheetId="3" state="visible" r:id="rId5"/>
  </sheets>
  <definedNames>
    <definedName function="false" hidden="true" localSheetId="1" name="_xlnm._FilterDatabase" vbProcedure="false">'Avaya list'!$A$1:$O$62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<sst xmlns="http://schemas.openxmlformats.org/spreadsheetml/2006/main" count="864" uniqueCount="426">
  <si>
    <t xml:space="preserve">Avaya users in the UK: crawl results</t>
  </si>
  <si>
    <t xml:space="preserve">Built 22 to 23 Oct 2026 from public contracts, FOI responses, job adverts, partner case studies and press releases.</t>
  </si>
  <si>
    <t xml:space="preserve">Hot</t>
  </si>
  <si>
    <t xml:space="preserve">Warm</t>
  </si>
  <si>
    <t xml:space="preserve">Cold</t>
  </si>
  <si>
    <t xml:space="preserve">Total</t>
  </si>
  <si>
    <t xml:space="preserve">Private</t>
  </si>
  <si>
    <t xml:space="preserve">Public</t>
  </si>
  <si>
    <t xml:space="preserve">Charity</t>
  </si>
  <si>
    <t xml:space="preserve">Unknown</t>
  </si>
  <si>
    <t xml:space="preserve">How the priority works</t>
  </si>
  <si>
    <t xml:space="preserve">Live tender, contract ending within about 18 months, or Avaya evidence from the last two years.</t>
  </si>
  <si>
    <t xml:space="preserve">Avaya confirmed from 2021 onwards, or an older deal whose term has probably run out.</t>
  </si>
  <si>
    <t xml:space="preserve">Evidence older than 2021, a locked-in new contract, or a third-party database listing only.</t>
  </si>
  <si>
    <t xml:space="preserve">Things to know</t>
  </si>
  <si>
    <t xml:space="preserve">Old does not mean gone</t>
  </si>
  <si>
    <t xml:space="preserve">Most private-sector evidence comes from case studies and press releases, so it can be years old. Treat Cold rows as names to verify, not leads.</t>
  </si>
  <si>
    <t xml:space="preserve">Database rows</t>
  </si>
  <si>
    <t xml:space="preserve">Rows marked 'Third-party customer database' come from a paid list (appsruntheworld). Low confidence until checked.</t>
  </si>
  <si>
    <t xml:space="preserve">Our own history</t>
  </si>
  <si>
    <t xml:space="preserve">Sussex Police's Avaya support was awarded to West Pier Telecommunications in 2025, and westpiertele.com still has Avaya partner pages. Worth asking Garry which other old Avaya maintenance customers are on the books.</t>
  </si>
  <si>
    <t xml:space="preserve">Blocked sources</t>
  </si>
  <si>
    <t xml:space="preserve">Contracts Finder's API, LinkedIn and Public Contracts Scotland blocked automated access, so this was built from search. A logged-in look would find more.</t>
  </si>
  <si>
    <t xml:space="preserve">Status column</t>
  </si>
  <si>
    <t xml:space="preserve">The Status column on the list has a drop-down so you can track who you've worked.</t>
  </si>
  <si>
    <t xml:space="preserve">Priority</t>
  </si>
  <si>
    <t xml:space="preserve">Organisation</t>
  </si>
  <si>
    <t xml:space="preserve">Type</t>
  </si>
  <si>
    <t xml:space="preserve">Sector</t>
  </si>
  <si>
    <t xml:space="preserve">Location</t>
  </si>
  <si>
    <t xml:space="preserve">Avaya product</t>
  </si>
  <si>
    <t xml:space="preserve">Evidence</t>
  </si>
  <si>
    <t xml:space="preserve">Evidence date</t>
  </si>
  <si>
    <t xml:space="preserve">Contract / key dates</t>
  </si>
  <si>
    <t xml:space="preserve">Current supplier</t>
  </si>
  <si>
    <t xml:space="preserve">Confidence</t>
  </si>
  <si>
    <t xml:space="preserve">Why it matters / next step</t>
  </si>
  <si>
    <t xml:space="preserve">Source</t>
  </si>
  <si>
    <t xml:space="preserve">Status</t>
  </si>
  <si>
    <t xml:space="preserve">Notes</t>
  </si>
  <si>
    <t xml:space="preserve">Sussex Police (PCC for Sussex)</t>
  </si>
  <si>
    <t xml:space="preserve">Police</t>
  </si>
  <si>
    <t xml:space="preserve">Sussex</t>
  </si>
  <si>
    <t xml:space="preserve">Avaya legacy telephony</t>
  </si>
  <si>
    <t xml:space="preserve">Support contract awarded to West Pier Telecommunications</t>
  </si>
  <si>
    <t xml:space="preserve">Jul 2025</t>
  </si>
  <si>
    <t xml:space="preserve">Ran 8 Jul 2025 to 30 Jun 2026, £71.8k</t>
  </si>
  <si>
    <t xml:space="preserve">West Pier (us)</t>
  </si>
  <si>
    <t xml:space="preserve">High</t>
  </si>
  <si>
    <t xml:space="preserve">Our own Avaya support contract. End date has passed, so check it was renewed and talk replacement.</t>
  </si>
  <si>
    <t xml:space="preserve">Open link</t>
  </si>
  <si>
    <t xml:space="preserve">North East Ambulance Service NHS FT</t>
  </si>
  <si>
    <t xml:space="preserve">NHS ambulance</t>
  </si>
  <si>
    <t xml:space="preserve">Newcastle</t>
  </si>
  <si>
    <t xml:space="preserve">Avaya Elite</t>
  </si>
  <si>
    <t xml:space="preserve">Live tender: AI overlay for the existing Avaya Elite platform</t>
  </si>
  <si>
    <t xml:space="preserve">Sep 2026</t>
  </si>
  <si>
    <t xml:space="preserve">Bids due 30 Oct 2026. Contract Apr 2027 to Mar 2030, £200k</t>
  </si>
  <si>
    <t xml:space="preserve">Live now. AI on top of Avaya, so close to the AI receptionist pitch. Check the deadline first thing.</t>
  </si>
  <si>
    <t xml:space="preserve">Student Loans Company</t>
  </si>
  <si>
    <t xml:space="preserve">Central gov (NDPB)</t>
  </si>
  <si>
    <t xml:space="preserve">Glasgow / Darlington</t>
  </si>
  <si>
    <t xml:space="preserve">Avaya estate incl. IVR</t>
  </si>
  <si>
    <t xml:space="preserve">Pipeline notice for Avaya maintenance and private cloud managed services</t>
  </si>
  <si>
    <t xml:space="preserve">May 2025</t>
  </si>
  <si>
    <t xml:space="preserve">Tender expected 30 Sep 2026. Contract 31 Dec 2026 to 31 Dec 2028, est. £8m</t>
  </si>
  <si>
    <t xml:space="preserve">Big one. Likely too large to prime, but worth a partner conversation and a look at the notice.</t>
  </si>
  <si>
    <t xml:space="preserve">Clackmannanshire Council</t>
  </si>
  <si>
    <t xml:space="preserve">Local gov (Scotland)</t>
  </si>
  <si>
    <t xml:space="preserve">Alloa</t>
  </si>
  <si>
    <t xml:space="preserve">Avaya MES moving to Aura / IP Office / cloud</t>
  </si>
  <si>
    <t xml:space="preserve">Fixed line telephony award</t>
  </si>
  <si>
    <t xml:space="preserve">Dec 2022</t>
  </si>
  <si>
    <t xml:space="preserve">5-year contract expires 20 Dec 2027, £708k</t>
  </si>
  <si>
    <t xml:space="preserve">Maintel</t>
  </si>
  <si>
    <t xml:space="preserve">Renewal in about 14 months. Right window to start.</t>
  </si>
  <si>
    <t xml:space="preserve">University of Hull</t>
  </si>
  <si>
    <t xml:space="preserve">Higher education</t>
  </si>
  <si>
    <t xml:space="preserve">Hull</t>
  </si>
  <si>
    <t xml:space="preserve">Aura, Aura Contact Centre, EDP</t>
  </si>
  <si>
    <t xml:space="preserve">10-year Avaya partnership announced</t>
  </si>
  <si>
    <t xml:space="preserve">2016</t>
  </si>
  <si>
    <t xml:space="preserve">10-year term runs to about 2026</t>
  </si>
  <si>
    <t xml:space="preserve">Avaya direct / partner</t>
  </si>
  <si>
    <t xml:space="preserve">Medium</t>
  </si>
  <si>
    <t xml:space="preserve">Ten-year deal should be ending around now. Find out what replaces it.</t>
  </si>
  <si>
    <t xml:space="preserve">NHS National Services Scotland</t>
  </si>
  <si>
    <t xml:space="preserve">NHS Scotland</t>
  </si>
  <si>
    <t xml:space="preserve">Edinburgh</t>
  </si>
  <si>
    <t xml:space="preserve">Avaya SIP/PBX, about 4,800 users</t>
  </si>
  <si>
    <t xml:space="preserve">FOI on telephone maintenance contract</t>
  </si>
  <si>
    <t xml:space="preserve">2023</t>
  </si>
  <si>
    <t xml:space="preserve">Ended Dec 2023, with up to two 12-month extensions (to Dec 2025 at most)</t>
  </si>
  <si>
    <t xml:space="preserve">Extensions should be used up. Big estate, possibly mid re-procurement.</t>
  </si>
  <si>
    <t xml:space="preserve">Isle of Wight Council</t>
  </si>
  <si>
    <t xml:space="preserve">Local gov</t>
  </si>
  <si>
    <t xml:space="preserve">Newport, IoW</t>
  </si>
  <si>
    <t xml:space="preserve">Avaya Aura 7.1</t>
  </si>
  <si>
    <t xml:space="preserve">Series of short support extensions while re-procuring a new system</t>
  </si>
  <si>
    <t xml:space="preserve">Mar 2025</t>
  </si>
  <si>
    <t xml:space="preserve">Last extension ran Apr to Sep 2025, £26k</t>
  </si>
  <si>
    <t xml:space="preserve">Was re-procuring. Check if a new system was awarded or if they are still extending.</t>
  </si>
  <si>
    <t xml:space="preserve">Maritime and Coastguard Agency</t>
  </si>
  <si>
    <t xml:space="preserve">Central gov</t>
  </si>
  <si>
    <t xml:space="preserve">Southampton</t>
  </si>
  <si>
    <t xml:space="preserve">Avaya IP Office + handsets</t>
  </si>
  <si>
    <t xml:space="preserve">Hardware contract and earlier IP Office support</t>
  </si>
  <si>
    <t xml:space="preserve">Hardware Jul 2025 to Jul 2026, £40.9k (Akhter). Earlier support Charterhouse 2022 to 2025</t>
  </si>
  <si>
    <t xml:space="preserve">Akhter / Charterhouse</t>
  </si>
  <si>
    <t xml:space="preserve">Still buying Avaya kit in 2025. Hardware contract has just ended.</t>
  </si>
  <si>
    <t xml:space="preserve">ArrowXL</t>
  </si>
  <si>
    <t xml:space="preserve">Logistics / home delivery</t>
  </si>
  <si>
    <t xml:space="preserve">Wigan</t>
  </si>
  <si>
    <t xml:space="preserve">Avaya CMS (with NICE WFM)</t>
  </si>
  <si>
    <t xml:space="preserve">Own job advert for workforce planning analyst names Avaya CMS</t>
  </si>
  <si>
    <t xml:space="preserve">Dec 2024</t>
  </si>
  <si>
    <t xml:space="preserve">None found</t>
  </si>
  <si>
    <t xml:space="preserve">Mid-market private firm with a contact centre on Avaya. Good cold target.</t>
  </si>
  <si>
    <t xml:space="preserve">Unnamed Glasgow employer (via Hays)</t>
  </si>
  <si>
    <t xml:space="preserve">Possibly health (eHealth mentioned)</t>
  </si>
  <si>
    <t xml:space="preserve">Glasgow</t>
  </si>
  <si>
    <t xml:space="preserve">Avaya Communication Manager + Contact Centre, NICE recording</t>
  </si>
  <si>
    <t xml:space="preserve">Several live agency adverts for an Avaya telephony service desk analyst</t>
  </si>
  <si>
    <t xml:space="preserve">Oct 2026</t>
  </si>
  <si>
    <t xml:space="preserve">3 to 6 month contract</t>
  </si>
  <si>
    <t xml:space="preserve">Live hiring to keep Avaya running. Could be NSS (above). Worth a call to Hays.</t>
  </si>
  <si>
    <t xml:space="preserve">Warwickshire Police</t>
  </si>
  <si>
    <t xml:space="preserve">Warwickshire</t>
  </si>
  <si>
    <t xml:space="preserve">Avaya equipment</t>
  </si>
  <si>
    <t xml:space="preserve">Support and maintenance award</t>
  </si>
  <si>
    <t xml:space="preserve">18 Mar 2025 to 30 Jun 2028, £266k (max £441k with extensions)</t>
  </si>
  <si>
    <t xml:space="preserve">Softcat</t>
  </si>
  <si>
    <t xml:space="preserve">Renewal mid 2028. Start talking in 2027.</t>
  </si>
  <si>
    <t xml:space="preserve">London Ambulance Service NHS Trust</t>
  </si>
  <si>
    <t xml:space="preserve">London</t>
  </si>
  <si>
    <t xml:space="preserve">Avaya support, licences and migration</t>
  </si>
  <si>
    <t xml:space="preserve">Support and licences award, plus migration services</t>
  </si>
  <si>
    <t xml:space="preserve">Mar 2026</t>
  </si>
  <si>
    <t xml:space="preserve">Migration services Oct 2025 to Mar 2026 (£109k); support and licences £835k</t>
  </si>
  <si>
    <t xml:space="preserve">Sabio</t>
  </si>
  <si>
    <t xml:space="preserve">Mid-migration with Sabio. Watch for what comes next.</t>
  </si>
  <si>
    <t xml:space="preserve">Flintshire County Council</t>
  </si>
  <si>
    <t xml:space="preserve">Local gov (Wales)</t>
  </si>
  <si>
    <t xml:space="preserve">Mold</t>
  </si>
  <si>
    <t xml:space="preserve">Avaya Workplace + deskphones</t>
  </si>
  <si>
    <t xml:space="preserve">Staff Avaya Workplace guide on the council website</t>
  </si>
  <si>
    <t xml:space="preserve">Undated</t>
  </si>
  <si>
    <t xml:space="preserve">Confirmed Avaya user. Needs an FOI or a call to find the contract date.</t>
  </si>
  <si>
    <t xml:space="preserve">West Midlands Police</t>
  </si>
  <si>
    <t xml:space="preserve">Birmingham</t>
  </si>
  <si>
    <t xml:space="preserve">Avaya CS1000e (plus Siemens ISDX)</t>
  </si>
  <si>
    <t xml:space="preserve">FOI on telephony contracts</t>
  </si>
  <si>
    <t xml:space="preserve">PABX support ended 31 Dec 2023</t>
  </si>
  <si>
    <t xml:space="preserve">CS1000 is very old kit. Check what they did after 2023.</t>
  </si>
  <si>
    <t xml:space="preserve">South East Coast Ambulance NHS FT</t>
  </si>
  <si>
    <t xml:space="preserve">Crawley</t>
  </si>
  <si>
    <t xml:space="preserve">Avaya telephony + NICE voice recording (999/111)</t>
  </si>
  <si>
    <t xml:space="preserve">Direct award</t>
  </si>
  <si>
    <t xml:space="preserve">2022</t>
  </si>
  <si>
    <t xml:space="preserve">Concluded May 2022, £880k</t>
  </si>
  <si>
    <t xml:space="preserve">4Net (FourNet)</t>
  </si>
  <si>
    <t xml:space="preserve">Local to us. Likely due a look within the next year or two.</t>
  </si>
  <si>
    <t xml:space="preserve">East London NHS FT</t>
  </si>
  <si>
    <t xml:space="preserve">NHS</t>
  </si>
  <si>
    <t xml:space="preserve">Avaya (listed under Avaya jobs)</t>
  </si>
  <si>
    <t xml:space="preserve">Voice and UC engineer advert</t>
  </si>
  <si>
    <t xml:space="preserve">Hiring voice engineers now. Check the full advert for the platform.</t>
  </si>
  <si>
    <t xml:space="preserve">Kura</t>
  </si>
  <si>
    <t xml:space="preserve">Outsourcer (BPO)</t>
  </si>
  <si>
    <t xml:space="preserve">Glasgow / Sunderland</t>
  </si>
  <si>
    <t xml:space="preserve">Avaya Enterprise Cloud, 600 seats initially</t>
  </si>
  <si>
    <t xml:space="preserve">Avaya press release</t>
  </si>
  <si>
    <t xml:space="preserve">Aug 2023</t>
  </si>
  <si>
    <t xml:space="preserve">Avaya direct</t>
  </si>
  <si>
    <t xml:space="preserve">Large contact centre outsourcer. Their clients may be leads too.</t>
  </si>
  <si>
    <t xml:space="preserve">transcosmos UK</t>
  </si>
  <si>
    <t xml:space="preserve">UK sites</t>
  </si>
  <si>
    <t xml:space="preserve">Avaya OneCloud CCaaS</t>
  </si>
  <si>
    <t xml:space="preserve">Industry news</t>
  </si>
  <si>
    <t xml:space="preserve">Oct 2021</t>
  </si>
  <si>
    <t xml:space="preserve">4net</t>
  </si>
  <si>
    <t xml:space="preserve">Cloud deal from 2021, so a 3 to 5 year term could be ending.</t>
  </si>
  <si>
    <t xml:space="preserve">Hargreaves Lansdown</t>
  </si>
  <si>
    <t xml:space="preserve">Financial services</t>
  </si>
  <si>
    <t xml:space="preserve">Bristol</t>
  </si>
  <si>
    <t xml:space="preserve">Avaya Aura contact centre</t>
  </si>
  <si>
    <t xml:space="preserve">Sabio support contract announced</t>
  </si>
  <si>
    <t xml:space="preserve">Feb 2021</t>
  </si>
  <si>
    <t xml:space="preserve">Five years on from a 2021 deal. Likely reviewing.</t>
  </si>
  <si>
    <t xml:space="preserve">Ageas UK</t>
  </si>
  <si>
    <t xml:space="preserve">Insurance</t>
  </si>
  <si>
    <t xml:space="preserve">Eastleigh, Hampshire</t>
  </si>
  <si>
    <t xml:space="preserve">Avaya contact centre platform</t>
  </si>
  <si>
    <t xml:space="preserve">IP Integration case study</t>
  </si>
  <si>
    <t xml:space="preserve">IP Integration</t>
  </si>
  <si>
    <t xml:space="preserve">Big insurer on Avaya with AI voice bots bolted on.</t>
  </si>
  <si>
    <t xml:space="preserve">Endsleigh Insurance</t>
  </si>
  <si>
    <t xml:space="preserve">Cheltenham</t>
  </si>
  <si>
    <t xml:space="preserve">Avaya Workforce Management</t>
  </si>
  <si>
    <t xml:space="preserve">Maintel case study</t>
  </si>
  <si>
    <t xml:space="preserve">Mid-sized insurer with an Avaya WFM layer.</t>
  </si>
  <si>
    <t xml:space="preserve">Unnamed legal expenses insurer</t>
  </si>
  <si>
    <t xml:space="preserve">UK (likely)</t>
  </si>
  <si>
    <t xml:space="preserve">Avaya OnDemand moving to Avaya Experience Platform</t>
  </si>
  <si>
    <t xml:space="preserve">Sabio client news</t>
  </si>
  <si>
    <t xml:space="preserve">Oct 2024</t>
  </si>
  <si>
    <t xml:space="preserve">Low</t>
  </si>
  <si>
    <t xml:space="preserve">Unnamed. Only useful if Sabio's other case studies name them.</t>
  </si>
  <si>
    <t xml:space="preserve">Journeycall</t>
  </si>
  <si>
    <t xml:space="preserve">Scotland</t>
  </si>
  <si>
    <t xml:space="preserve">Sabio OnDemand (Avaya based), 150 agents</t>
  </si>
  <si>
    <t xml:space="preserve">Contract news</t>
  </si>
  <si>
    <t xml:space="preserve">May 2018</t>
  </si>
  <si>
    <t xml:space="preserve">5-year, £1.6m deal, so ended about 2023</t>
  </si>
  <si>
    <t xml:space="preserve">Term has run out. Could be on a rolling deal.</t>
  </si>
  <si>
    <t xml:space="preserve">HLM Architects</t>
  </si>
  <si>
    <t xml:space="preserve">Architecture</t>
  </si>
  <si>
    <t xml:space="preserve">London, Sheffield, Glasgow, Manchester, Cardiff, Belfast</t>
  </si>
  <si>
    <t xml:space="preserve">IP Office Server Edition, about 160 staff</t>
  </si>
  <si>
    <t xml:space="preserve">Avoira case study</t>
  </si>
  <si>
    <t xml:space="preserve">About 2022</t>
  </si>
  <si>
    <t xml:space="preserve">Avoira</t>
  </si>
  <si>
    <t xml:space="preserve">Perfect SME size for WPT. Multi-site, on-prem IP Office.</t>
  </si>
  <si>
    <t xml:space="preserve">Harrison Drury</t>
  </si>
  <si>
    <t xml:space="preserve">Legal</t>
  </si>
  <si>
    <t xml:space="preserve">Preston and North West (7 offices)</t>
  </si>
  <si>
    <t xml:space="preserve">Avaya Cloud Office (RingCentral), 130 users</t>
  </si>
  <si>
    <t xml:space="preserve">Oct 2022</t>
  </si>
  <si>
    <t xml:space="preserve">Avaya / RingCentral</t>
  </si>
  <si>
    <t xml:space="preserve">Four years into a cloud deal. Good SME target.</t>
  </si>
  <si>
    <t xml:space="preserve">Garden Court Chambers</t>
  </si>
  <si>
    <t xml:space="preserve">Legal (barristers)</t>
  </si>
  <si>
    <t xml:space="preserve">Avaya OneCloud / Cloud Office, 275 users</t>
  </si>
  <si>
    <t xml:space="preserve">Jun 2021</t>
  </si>
  <si>
    <t xml:space="preserve">Five years on a cloud deal. Likely due.</t>
  </si>
  <si>
    <t xml:space="preserve">The Learning People</t>
  </si>
  <si>
    <t xml:space="preserve">Training / education</t>
  </si>
  <si>
    <t xml:space="preserve">UK</t>
  </si>
  <si>
    <t xml:space="preserve">Avaya Cloud Office</t>
  </si>
  <si>
    <t xml:space="preserve">Dec 2021</t>
  </si>
  <si>
    <t xml:space="preserve">Cloud deal from 2021, likely up for review.</t>
  </si>
  <si>
    <t xml:space="preserve">Gtech (Grey Technology)</t>
  </si>
  <si>
    <t xml:space="preserve">Manufacturing / retail</t>
  </si>
  <si>
    <t xml:space="preserve">Worcester</t>
  </si>
  <si>
    <t xml:space="preserve">Avaya IP Office</t>
  </si>
  <si>
    <t xml:space="preserve">Oct 2016</t>
  </si>
  <si>
    <t xml:space="preserve">Ten-year-old IP Office at a fast-growing brand. Good fit.</t>
  </si>
  <si>
    <t xml:space="preserve">Western Trading</t>
  </si>
  <si>
    <t xml:space="preserve">Property</t>
  </si>
  <si>
    <t xml:space="preserve">Telecom Central case study</t>
  </si>
  <si>
    <t xml:space="preserve">Telecom Central</t>
  </si>
  <si>
    <t xml:space="preserve">SME on 2018 IP Office. Classic upgrade target.</t>
  </si>
  <si>
    <t xml:space="preserve">Freidman FM</t>
  </si>
  <si>
    <t xml:space="preserve">Facilities management</t>
  </si>
  <si>
    <t xml:space="preserve">Avaya Cloud</t>
  </si>
  <si>
    <t xml:space="preserve">Evoke Telecom case study</t>
  </si>
  <si>
    <t xml:space="preserve">Evoke Telecom</t>
  </si>
  <si>
    <t xml:space="preserve">SME on Avaya cloud.</t>
  </si>
  <si>
    <t xml:space="preserve">Reaseheath College</t>
  </si>
  <si>
    <t xml:space="preserve">Further education</t>
  </si>
  <si>
    <t xml:space="preserve">Nantwich, Cheshire</t>
  </si>
  <si>
    <t xml:space="preserve">IP Office Server Edition</t>
  </si>
  <si>
    <t xml:space="preserve">College on on-prem IP Office.</t>
  </si>
  <si>
    <t xml:space="preserve">Loughborough Schools Foundation</t>
  </si>
  <si>
    <t xml:space="preserve">Independent schools</t>
  </si>
  <si>
    <t xml:space="preserve">Loughborough</t>
  </si>
  <si>
    <t xml:space="preserve">Avaya IP telephony, 600+ handsets</t>
  </si>
  <si>
    <t xml:space="preserve">Jul 2019</t>
  </si>
  <si>
    <t xml:space="preserve">Seven years on. Large handset estate.</t>
  </si>
  <si>
    <t xml:space="preserve">Rushey Mead Academy</t>
  </si>
  <si>
    <t xml:space="preserve">School</t>
  </si>
  <si>
    <t xml:space="preserve">Leicester</t>
  </si>
  <si>
    <t xml:space="preserve">School on IP Office.</t>
  </si>
  <si>
    <t xml:space="preserve">Citizens Advice Scotland</t>
  </si>
  <si>
    <t xml:space="preserve">Edinburgh (26 locations)</t>
  </si>
  <si>
    <t xml:space="preserve">Avaya IP Office (NHS patient advice helpline)</t>
  </si>
  <si>
    <t xml:space="preserve">Oct 2017</t>
  </si>
  <si>
    <t xml:space="preserve">Multi-site charity on 2017 IP Office.</t>
  </si>
  <si>
    <t xml:space="preserve">Royal Borough of Greenwich</t>
  </si>
  <si>
    <t xml:space="preserve">Avaya contact centre + cloud upgrade</t>
  </si>
  <si>
    <t xml:space="preserve">Direct award decision</t>
  </si>
  <si>
    <t xml:space="preserve">5 years from Dec 2024 (to about Dec 2029), max £1.5m</t>
  </si>
  <si>
    <t xml:space="preserve">Wavenet (competitor)</t>
  </si>
  <si>
    <t xml:space="preserve">Locked in until 2029. Note it for later.</t>
  </si>
  <si>
    <t xml:space="preserve">South Central Ambulance Service NHS FT</t>
  </si>
  <si>
    <t xml:space="preserve">Bicester</t>
  </si>
  <si>
    <t xml:space="preserve">Avaya contact centre, CTI, IP phones</t>
  </si>
  <si>
    <t xml:space="preserve">FourNet project news</t>
  </si>
  <si>
    <t xml:space="preserve">Feb 2024</t>
  </si>
  <si>
    <t xml:space="preserve">FourNet</t>
  </si>
  <si>
    <t xml:space="preserve">Brand new platform. Not moving soon.</t>
  </si>
  <si>
    <t xml:space="preserve">Yorkshire Ambulance Service NHS Trust</t>
  </si>
  <si>
    <t xml:space="preserve">Wakefield</t>
  </si>
  <si>
    <t xml:space="preserve">Avaya platform</t>
  </si>
  <si>
    <t xml:space="preserve">Corporate risk register flagged it for replacement</t>
  </si>
  <si>
    <t xml:space="preserve">Jul 2020</t>
  </si>
  <si>
    <t xml:space="preserve">BT</t>
  </si>
  <si>
    <t xml:space="preserve">May have replaced it already. Verify.</t>
  </si>
  <si>
    <t xml:space="preserve">HM Courts &amp; Tribunals Service</t>
  </si>
  <si>
    <t xml:space="preserve">Avaya + Verint via FourNet ANTENNA</t>
  </si>
  <si>
    <t xml:space="preserve">Oct 2019</t>
  </si>
  <si>
    <t xml:space="preserve">3-year, £16.3m</t>
  </si>
  <si>
    <t xml:space="preserve">Large and probably re-let since.</t>
  </si>
  <si>
    <t xml:space="preserve">Warrington Borough Council</t>
  </si>
  <si>
    <t xml:space="preserve">Warrington</t>
  </si>
  <si>
    <t xml:space="preserve">Avaya VoIP</t>
  </si>
  <si>
    <t xml:space="preserve">Support award</t>
  </si>
  <si>
    <t xml:space="preserve">Feb 2018</t>
  </si>
  <si>
    <t xml:space="preserve">Dec 2017 to Nov 2018, £110k</t>
  </si>
  <si>
    <t xml:space="preserve">Old evidence. Needs a fresh check.</t>
  </si>
  <si>
    <t xml:space="preserve">Sandwell Metropolitan Borough Council</t>
  </si>
  <si>
    <t xml:space="preserve">Oldbury</t>
  </si>
  <si>
    <t xml:space="preserve">Avaya CS1000</t>
  </si>
  <si>
    <t xml:space="preserve">Oct 2016 to Oct 2017</t>
  </si>
  <si>
    <t xml:space="preserve">Intrinsic Technology</t>
  </si>
  <si>
    <t xml:space="preserve">Dorset Council (was West Dorset DC)</t>
  </si>
  <si>
    <t xml:space="preserve">Dorchester</t>
  </si>
  <si>
    <t xml:space="preserve">Aura CM 6.3, CMS R16</t>
  </si>
  <si>
    <t xml:space="preserve">Oct 2015</t>
  </si>
  <si>
    <t xml:space="preserve">2015 to 2016</t>
  </si>
  <si>
    <t xml:space="preserve">Council has since merged. Very old evidence.</t>
  </si>
  <si>
    <t xml:space="preserve">Ministry of Defence</t>
  </si>
  <si>
    <t xml:space="preserve">Third-party customer database</t>
  </si>
  <si>
    <t xml:space="preserve">Database listing only. Not verified.</t>
  </si>
  <si>
    <t xml:space="preserve">Places for People</t>
  </si>
  <si>
    <t xml:space="preserve">Housing</t>
  </si>
  <si>
    <t xml:space="preserve">Preston (HQ)</t>
  </si>
  <si>
    <t xml:space="preserve">Royal London</t>
  </si>
  <si>
    <t xml:space="preserve">Wilmslow / Edinburgh</t>
  </si>
  <si>
    <t xml:space="preserve">M&amp;G</t>
  </si>
  <si>
    <t xml:space="preserve">ReAssure (now Phoenix Group)</t>
  </si>
  <si>
    <t xml:space="preserve">Telford</t>
  </si>
  <si>
    <t xml:space="preserve">Now part of Phoenix. Not verified.</t>
  </si>
  <si>
    <t xml:space="preserve">Canada Life UK</t>
  </si>
  <si>
    <t xml:space="preserve">Potters Bar</t>
  </si>
  <si>
    <t xml:space="preserve">Findel</t>
  </si>
  <si>
    <t xml:space="preserve">Retail / education supplies</t>
  </si>
  <si>
    <t xml:space="preserve">Accrington</t>
  </si>
  <si>
    <t xml:space="preserve">Saga</t>
  </si>
  <si>
    <t xml:space="preserve">Insurance / travel</t>
  </si>
  <si>
    <t xml:space="preserve">Folkestone</t>
  </si>
  <si>
    <t xml:space="preserve">Aura CM, 1,000+ agents</t>
  </si>
  <si>
    <t xml:space="preserve">Sabio support contract news</t>
  </si>
  <si>
    <t xml:space="preserve">Feb 2016</t>
  </si>
  <si>
    <t xml:space="preserve">Big estate. Old evidence, worth a fresh look.</t>
  </si>
  <si>
    <t xml:space="preserve">The AA</t>
  </si>
  <si>
    <t xml:space="preserve">Motoring / insurance</t>
  </si>
  <si>
    <t xml:space="preserve">Basingstoke</t>
  </si>
  <si>
    <t xml:space="preserve">Aura CM + CMS</t>
  </si>
  <si>
    <t xml:space="preserve">Industry case study</t>
  </si>
  <si>
    <t xml:space="preserve">Sep 2014</t>
  </si>
  <si>
    <t xml:space="preserve">Old evidence.</t>
  </si>
  <si>
    <t xml:space="preserve">BGL Group</t>
  </si>
  <si>
    <t xml:space="preserve">Insurance (comparethemarket parent)</t>
  </si>
  <si>
    <t xml:space="preserve">Peterborough</t>
  </si>
  <si>
    <t xml:space="preserve">Aura Experience Portal + Avaya ACD, 1,000+ advisers</t>
  </si>
  <si>
    <t xml:space="preserve">Sabio case study</t>
  </si>
  <si>
    <t xml:space="preserve">Apr 2014</t>
  </si>
  <si>
    <t xml:space="preserve">HomeServe</t>
  </si>
  <si>
    <t xml:space="preserve">Home services</t>
  </si>
  <si>
    <t xml:space="preserve">Walsall</t>
  </si>
  <si>
    <t xml:space="preserve">Avaya telephony + IVR</t>
  </si>
  <si>
    <t xml:space="preserve">Sabio news</t>
  </si>
  <si>
    <t xml:space="preserve">May 2014</t>
  </si>
  <si>
    <t xml:space="preserve">Selection Services</t>
  </si>
  <si>
    <t xml:space="preserve">Insurance broker</t>
  </si>
  <si>
    <t xml:space="preserve">Avaya contact centre</t>
  </si>
  <si>
    <t xml:space="preserve">Old evidence. Mid-market size.</t>
  </si>
  <si>
    <t xml:space="preserve">Think Money</t>
  </si>
  <si>
    <t xml:space="preserve">Manchester</t>
  </si>
  <si>
    <t xml:space="preserve">Aura CM</t>
  </si>
  <si>
    <t xml:space="preserve">CET (Home Emergency)</t>
  </si>
  <si>
    <t xml:space="preserve">Insurance services</t>
  </si>
  <si>
    <t xml:space="preserve">Castle Donington</t>
  </si>
  <si>
    <t xml:space="preserve">IP Office Contact Center Server Edition</t>
  </si>
  <si>
    <t xml:space="preserve">Extera case study</t>
  </si>
  <si>
    <t xml:space="preserve">Extera</t>
  </si>
  <si>
    <t xml:space="preserve">Mid-market. Old evidence.</t>
  </si>
  <si>
    <t xml:space="preserve">Indigo Lighthouse</t>
  </si>
  <si>
    <t xml:space="preserve">Aura CM + Avaya IQ</t>
  </si>
  <si>
    <t xml:space="preserve">Undated. Verify they still trade under this name.</t>
  </si>
  <si>
    <t xml:space="preserve">Teleperformance UK</t>
  </si>
  <si>
    <t xml:space="preserve">14 UK sites</t>
  </si>
  <si>
    <t xml:space="preserve">Avaya platform, 2,000+ seats</t>
  </si>
  <si>
    <t xml:space="preserve">Jul 2013</t>
  </si>
  <si>
    <t xml:space="preserve">Vodafone / Infinity CCS</t>
  </si>
  <si>
    <t xml:space="preserve">Very old evidence. Huge estate.</t>
  </si>
  <si>
    <t xml:space="preserve">Avon (UK-hosted EMEA)</t>
  </si>
  <si>
    <t xml:space="preserve">Beauty / direct selling</t>
  </si>
  <si>
    <t xml:space="preserve">Northampton (UK ops)</t>
  </si>
  <si>
    <t xml:space="preserve">Avaya AEP IVR + VoIP</t>
  </si>
  <si>
    <t xml:space="preserve">2018</t>
  </si>
  <si>
    <t xml:space="preserve">Global firm, UK hosted. Long shot.</t>
  </si>
  <si>
    <t xml:space="preserve">npower (now E.ON Next)</t>
  </si>
  <si>
    <t xml:space="preserve">Energy</t>
  </si>
  <si>
    <t xml:space="preserve">Solihull</t>
  </si>
  <si>
    <t xml:space="preserve">Aura Contact Centre, Experience Portal, POM</t>
  </si>
  <si>
    <t xml:space="preserve">4net / BT</t>
  </si>
  <si>
    <t xml:space="preserve">npower customers moved to E.ON Next. Probably gone.</t>
  </si>
  <si>
    <t xml:space="preserve">BSH Home Appliances UK</t>
  </si>
  <si>
    <t xml:space="preserve">Manufacturing</t>
  </si>
  <si>
    <t xml:space="preserve">Kettering / Milton Keynes</t>
  </si>
  <si>
    <t xml:space="preserve">Avaya contact centre, 88 agents</t>
  </si>
  <si>
    <t xml:space="preserve">Mar 2010</t>
  </si>
  <si>
    <t xml:space="preserve">Very old evidence.</t>
  </si>
  <si>
    <t xml:space="preserve">Days Hotel Shoreditch</t>
  </si>
  <si>
    <t xml:space="preserve">Hospitality</t>
  </si>
  <si>
    <t xml:space="preserve">About 2012</t>
  </si>
  <si>
    <t xml:space="preserve">System</t>
  </si>
  <si>
    <t xml:space="preserve">Key dates</t>
  </si>
  <si>
    <t xml:space="preserve">Supplier</t>
  </si>
  <si>
    <t xml:space="preserve">Why it matters</t>
  </si>
  <si>
    <t xml:space="preserve">Ashford and St Peter's Hospitals NHS FT</t>
  </si>
  <si>
    <t xml:space="preserve">Chertsey, Surrey</t>
  </si>
  <si>
    <t xml:space="preserve">Mitel (installed 2016)</t>
  </si>
  <si>
    <t xml:space="preserve">FOI on telephony</t>
  </si>
  <si>
    <t xml:space="preserve">Renewal April 2027, about £800k</t>
  </si>
  <si>
    <t xml:space="preserve">Mitel</t>
  </si>
  <si>
    <t xml:space="preserve">Not Avaya, but Mitel renewing in 6 months near us. WPT is a Mitel partner.</t>
  </si>
  <si>
    <t xml:space="preserve">North Yorkshire Police</t>
  </si>
  <si>
    <t xml:space="preserve">Northallerton</t>
  </si>
  <si>
    <t xml:space="preserve">Withheld in FOI (Teams used for telephony)</t>
  </si>
  <si>
    <t xml:space="preserve">FOI on telephony contract</t>
  </si>
  <si>
    <t xml:space="preserve">Contract ends 31 Aug 2027. Replacement procurement within 24 months</t>
  </si>
  <si>
    <t xml:space="preserve">Withheld</t>
  </si>
  <si>
    <t xml:space="preserve">Already on our radar (NYP tender). Confirms the end date.</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</si>
</sst>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0181FC"/>
      <name val="Arial"/>
      <family val="0"/>
      <charset val="1"/>
    </font>
    <font>
      <i val="true"/>
      <sz val="10"/>
      <name val="Arial"/>
      <family val="0"/>
      <charset val="1"/>
    </font>
    <font>
      <b val="true"/>
      <sz val="10"/>
      <color rgb="FFFFFFFF"/>
      <name val="Arial"/>
      <family val="0"/>
      <charset val="1"/>
    </font>
    <font>
      <sz val="10"/>
      <name val="Arial"/>
      <family val="0"/>
      <charset val="1"/>
    </font>
    <font>
      <b val="true"/>
      <sz val="10"/>
      <name val="Arial"/>
      <family val="0"/>
      <charset val="1"/>
    </font>
    <font>
      <b val="true"/>
      <sz val="10"/>
      <color rgb="FF0181FC"/>
      <name val="Arial"/>
      <family val="0"/>
      <charset val="1"/>
    </font>
    <font>
      <b val="true"/>
      <sz val="10"/>
      <color rgb="FF000000"/>
      <name val="Arial"/>
      <family val="0"/>
      <charset val="1"/>
    </font>
    <font>
      <sz val="10"/>
      <color rgb="FF000000"/>
      <name val="Arial"/>
      <family val="0"/>
      <charset val="1"/>
    </font>
    <font>
      <u val="single"/>
      <sz val="10"/>
      <color rgb="FF0563C1"/>
      <name val="Arial"/>
      <family val="0"/>
      <charset val="1"/>
    </font>
  </fonts>
  <fills count="6">
    <fill>
      <patternFill patternType="none"/>
    </fill>
    <fill>
      <patternFill patternType="gray125"/>
    </fill>
    <fill>
      <patternFill patternType="solid">
        <fgColor rgb="FF0181FC"/>
        <bgColor rgb="FF0563C1"/>
      </patternFill>
    </fill>
    <fill>
      <patternFill patternType="solid">
        <fgColor rgb="FFFDE2E1"/>
        <bgColor rgb="FFFFF2CC"/>
      </patternFill>
    </fill>
    <fill>
      <patternFill patternType="solid">
        <fgColor rgb="FFFFF2CC"/>
        <bgColor rgb="FFFDE2E1"/>
      </patternFill>
    </fill>
    <fill>
      <patternFill patternType="solid">
        <fgColor rgb="FFE7EEF7"/>
        <bgColor rgb="FFFDE2E1"/>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181FC"/>
          <bgColor rgb="FF000000"/>
        </patternFill>
      </fill>
    </dxf>
    <dxf>
      <fill>
        <patternFill patternType="solid">
          <fgColor rgb="FFE7EEF7"/>
          <bgColor rgb="FF000000"/>
        </patternFill>
      </fill>
    </dxf>
    <dxf>
      <fill>
        <patternFill patternType="solid">
          <fgColor rgb="FFFDE2E1"/>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7EE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DE2E1"/>
      <rgbColor rgb="FF0181FC"/>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find-tender.service.gov.uk/Notice/038296-2025" TargetMode="External"/><Relationship Id="rId2" Type="http://schemas.openxmlformats.org/officeDocument/2006/relationships/hyperlink" Target="https://www.tendersignal.co.uk/tender/66082188" TargetMode="External"/><Relationship Id="rId3" Type="http://schemas.openxmlformats.org/officeDocument/2006/relationships/hyperlink" Target="https://www.find-tender.service.gov.uk/Notice/028262-2025" TargetMode="External"/><Relationship Id="rId4" Type="http://schemas.openxmlformats.org/officeDocument/2006/relationships/hyperlink" Target="https://www.stotles.com/explore/notices/7e559c5a-ec92-4c88-ac4f-9f24f048fef6/award-of-fixed-line-telephony" TargetMode="External"/><Relationship Id="rId5" Type="http://schemas.openxmlformats.org/officeDocument/2006/relationships/hyperlink" Target="https://www.avaya.com/en/about-avaya/newsroom/pr-220316/" TargetMode="External"/><Relationship Id="rId6" Type="http://schemas.openxmlformats.org/officeDocument/2006/relationships/hyperlink" Target="https://www.nss.nhs.scot/publications/foi-2023-000027-telephone-maintenance-contract/foi-2023-000027-telephone-maintenance-contract-html/" TargetMode="External"/><Relationship Id="rId7" Type="http://schemas.openxmlformats.org/officeDocument/2006/relationships/hyperlink" Target="https://www.contractsfinder.service.gov.uk/Notice/565908af-ede0-4778-83c2-e06d0a111280" TargetMode="External"/><Relationship Id="rId8" Type="http://schemas.openxmlformats.org/officeDocument/2006/relationships/hyperlink" Target="https://www.contractsfinder.service.gov.uk/notice/524a0e28-3fe0-4dad-89f1-89793d17575b" TargetMode="External"/><Relationship Id="rId9" Type="http://schemas.openxmlformats.org/officeDocument/2006/relationships/hyperlink" Target="https://careers.arrowxl.co.uk/members/modules/job/detail.php?record=1494" TargetMode="External"/><Relationship Id="rId10" Type="http://schemas.openxmlformats.org/officeDocument/2006/relationships/hyperlink" Target="https://www.itjobswatch.co.uk/jv/Hays-Technology/Service-Desk-Analyst-Telephony-Avaya-Job-Glasgow-City-of-Glasgow-UK-54mwcq" TargetMode="External"/><Relationship Id="rId11" Type="http://schemas.openxmlformats.org/officeDocument/2006/relationships/hyperlink" Target="https://www.contractsfinder.service.gov.uk/Notice/f109e4a9-73f0-4266-8683-02d386c9701a" TargetMode="External"/><Relationship Id="rId12" Type="http://schemas.openxmlformats.org/officeDocument/2006/relationships/hyperlink" Target="https://www.contractsfinder.service.gov.uk/Notice/958119c5-ed8d-46f5-b23d-7d629ff46123" TargetMode="External"/><Relationship Id="rId13" Type="http://schemas.openxmlformats.org/officeDocument/2006/relationships/hyperlink" Target="https://www.flintshire.gov.uk/en/PDFFiles/Council-Apps/Avaya-Workplace-Guide-Standard-User.v2-002-1.pdf" TargetMode="External"/><Relationship Id="rId14" Type="http://schemas.openxmlformats.org/officeDocument/2006/relationships/hyperlink" Target="https://foi.west-midlands.police.uk/wp-content/uploads/2023/07/119A_Attachment.pdf" TargetMode="External"/><Relationship Id="rId15" Type="http://schemas.openxmlformats.org/officeDocument/2006/relationships/hyperlink" Target="https://www.find-tender.service.gov.uk/Notice/023844-2022" TargetMode="External"/><Relationship Id="rId16" Type="http://schemas.openxmlformats.org/officeDocument/2006/relationships/hyperlink" Target="https://www.itjobswatch.co.uk/find/Avaya-jobs-in-the-UK" TargetMode="External"/><Relationship Id="rId17" Type="http://schemas.openxmlformats.org/officeDocument/2006/relationships/hyperlink" Target="https://www.avaya.com/en/newsroom/2023/pr-uk-230823/" TargetMode="External"/><Relationship Id="rId18" Type="http://schemas.openxmlformats.org/officeDocument/2006/relationships/hyperlink" Target="https://cxtoday.com/outsourcing-giant-transcosmos-implements-avaya-onecloud-ccaas" TargetMode="External"/><Relationship Id="rId19" Type="http://schemas.openxmlformats.org/officeDocument/2006/relationships/hyperlink" Target="https://contact-centres.com/sabio-chosen-by-hargreaves-lansdown-to-contact-centre/" TargetMode="External"/><Relationship Id="rId20" Type="http://schemas.openxmlformats.org/officeDocument/2006/relationships/hyperlink" Target="https://ipintegration.com/wp-content/uploads/2022/10/Ageas-Case-Study-2022.pdf" TargetMode="External"/><Relationship Id="rId21" Type="http://schemas.openxmlformats.org/officeDocument/2006/relationships/hyperlink" Target="https://www.cloudtango.net/media/casestudies/case-study-endsleigh_1729606619.pdf" TargetMode="External"/><Relationship Id="rId22" Type="http://schemas.openxmlformats.org/officeDocument/2006/relationships/hyperlink" Target="https://insurance-edge.net/2024/10/04/sabio-client-migrates-to-avaya-experience-platform/" TargetMode="External"/><Relationship Id="rId23" Type="http://schemas.openxmlformats.org/officeDocument/2006/relationships/hyperlink" Target="https://contact-centres.com/journeycall-signs-1-6-million-contract-with-sabio/" TargetMode="External"/><Relationship Id="rId24" Type="http://schemas.openxmlformats.org/officeDocument/2006/relationships/hyperlink" Target="https://avoira.com/case-studies/hlm-architects/" TargetMode="External"/><Relationship Id="rId25" Type="http://schemas.openxmlformats.org/officeDocument/2006/relationships/hyperlink" Target="https://www.avaya.com/en/newsroom/2022/pr-uk-221004/" TargetMode="External"/><Relationship Id="rId26" Type="http://schemas.openxmlformats.org/officeDocument/2006/relationships/hyperlink" Target="https://www.uctoday.com/unified-communications/avaya-rolls-out-digital-workplace-to-chambers/" TargetMode="External"/><Relationship Id="rId27" Type="http://schemas.openxmlformats.org/officeDocument/2006/relationships/hyperlink" Target="https://www.businesswire.com/news/home/20211214005596/en/Avaya-Cloud-Office&#174;-Enables-The-Learning-People-to-Deliver-Exceptional-Education-Experiences-for-Thousands-of-Students" TargetMode="External"/><Relationship Id="rId28" Type="http://schemas.openxmlformats.org/officeDocument/2006/relationships/hyperlink" Target="https://www.globenewswire.com/news-release/2016/10/12/1448308/0/en/Gtech-Sweeps-Five-Star-Customer-Service-With-Avaya-IP-Office.html" TargetMode="External"/><Relationship Id="rId29" Type="http://schemas.openxmlformats.org/officeDocument/2006/relationships/hyperlink" Target="https://telecomcentral.co.uk/case-studies/new-avaya-ip-office-system/" TargetMode="External"/><Relationship Id="rId30" Type="http://schemas.openxmlformats.org/officeDocument/2006/relationships/hyperlink" Target="https://evoketelecom.com/our-case-studies/" TargetMode="External"/><Relationship Id="rId31" Type="http://schemas.openxmlformats.org/officeDocument/2006/relationships/hyperlink" Target="https://evoketelecom.com/our-case-studies/" TargetMode="External"/><Relationship Id="rId32" Type="http://schemas.openxmlformats.org/officeDocument/2006/relationships/hyperlink" Target="https://www.avaya.com/en/about-avaya/newsroom/2019/pr-uk-190725/" TargetMode="External"/><Relationship Id="rId33" Type="http://schemas.openxmlformats.org/officeDocument/2006/relationships/hyperlink" Target="https://evoketelecom.com/our-case-studies/rushey-mead-academy/" TargetMode="External"/><Relationship Id="rId34" Type="http://schemas.openxmlformats.org/officeDocument/2006/relationships/hyperlink" Target="https://uctoday.com/citizens-advice-scotland-calls-avaya" TargetMode="External"/><Relationship Id="rId35" Type="http://schemas.openxmlformats.org/officeDocument/2006/relationships/hyperlink" Target="https://committees.royalgreenwich.gov.uk/ieDecisionDetails.aspx?ID=742" TargetMode="External"/><Relationship Id="rId36" Type="http://schemas.openxmlformats.org/officeDocument/2006/relationships/hyperlink" Target="https://contact-centres.com/avaya-ecosystem-creates-tailored-contact-centre-solution/" TargetMode="External"/><Relationship Id="rId37" Type="http://schemas.openxmlformats.org/officeDocument/2006/relationships/hyperlink" Target="https://www.yas.nhs.uk/media/3240/61b-appendix-2-risk-report-app2-crr-extract-july-2020.pdf" TargetMode="External"/><Relationship Id="rId38" Type="http://schemas.openxmlformats.org/officeDocument/2006/relationships/hyperlink" Target="https://fournet.co.uk/news-events/2019/10/02/4net-wins-contract-to-deliver-hmcts-reform/" TargetMode="External"/><Relationship Id="rId39" Type="http://schemas.openxmlformats.org/officeDocument/2006/relationships/hyperlink" Target="https://www.contractsfinder.service.gov.uk/notice/2470d264-ae63-45ca-bc7d-1431675e54e5" TargetMode="External"/><Relationship Id="rId40" Type="http://schemas.openxmlformats.org/officeDocument/2006/relationships/hyperlink" Target="https://www.contractsfinder.service.gov.uk/notice/1e680ffa-10fb-4839-976f-c4bf4e341fe7" TargetMode="External"/><Relationship Id="rId41" Type="http://schemas.openxmlformats.org/officeDocument/2006/relationships/hyperlink" Target="https://www.contractsfinder.service.gov.uk/Notice/d7fed0ca-4535-48c4-9f53-8be38d279e4b" TargetMode="External"/><Relationship Id="rId42" Type="http://schemas.openxmlformats.org/officeDocument/2006/relationships/hyperlink" Target="https://www.appsruntheworld.com/customers-database/products/view/avaya-ip-office" TargetMode="External"/><Relationship Id="rId43" Type="http://schemas.openxmlformats.org/officeDocument/2006/relationships/hyperlink" Target="https://www.appsruntheworld.com/customers-database/products/view/avaya-ip-office" TargetMode="External"/><Relationship Id="rId44" Type="http://schemas.openxmlformats.org/officeDocument/2006/relationships/hyperlink" Target="https://www.appsruntheworld.com/customers-database/products/view/avaya-ip-office" TargetMode="External"/><Relationship Id="rId45" Type="http://schemas.openxmlformats.org/officeDocument/2006/relationships/hyperlink" Target="https://www.appsruntheworld.com/customers-database/products/view/avaya-ip-office" TargetMode="External"/><Relationship Id="rId46" Type="http://schemas.openxmlformats.org/officeDocument/2006/relationships/hyperlink" Target="https://www.appsruntheworld.com/customers-database/products/view/avaya-ip-office" TargetMode="External"/><Relationship Id="rId47" Type="http://schemas.openxmlformats.org/officeDocument/2006/relationships/hyperlink" Target="https://www.appsruntheworld.com/customers-database/products/view/avaya-ip-office" TargetMode="External"/><Relationship Id="rId48" Type="http://schemas.openxmlformats.org/officeDocument/2006/relationships/hyperlink" Target="https://www.appsruntheworld.com/customers-database/products/view/avaya-ip-office" TargetMode="External"/><Relationship Id="rId49" Type="http://schemas.openxmlformats.org/officeDocument/2006/relationships/hyperlink" Target="https://contact-centres.com/saga-chooses-sabio-to-support-business-critical-contact-centres/" TargetMode="External"/><Relationship Id="rId50" Type="http://schemas.openxmlformats.org/officeDocument/2006/relationships/hyperlink" Target="https://www.callcentrehelper.com/case-study-aa-deploy-customer-contact-infrastructure-67701.htm" TargetMode="External"/><Relationship Id="rId51" Type="http://schemas.openxmlformats.org/officeDocument/2006/relationships/hyperlink" Target="https://contact-centres.com/sabio-case-study-the-bgl-group-delivering-a-great-customer-experience/" TargetMode="External"/><Relationship Id="rId52" Type="http://schemas.openxmlformats.org/officeDocument/2006/relationships/hyperlink" Target="https://contact-centres.com/sabio-celebrates-10-consecutive-years-as-an-avaya-platinum-partner/" TargetMode="External"/><Relationship Id="rId53" Type="http://schemas.openxmlformats.org/officeDocument/2006/relationships/hyperlink" Target="https://contact-centres.com/sabio-celebrates-10-consecutive-years-as-an-avaya-platinum-partner/" TargetMode="External"/><Relationship Id="rId54" Type="http://schemas.openxmlformats.org/officeDocument/2006/relationships/hyperlink" Target="https://www.callcentrehelper.com/case-study-sabio-improves-contact-centre-performance-59751.htm" TargetMode="External"/><Relationship Id="rId55" Type="http://schemas.openxmlformats.org/officeDocument/2006/relationships/hyperlink" Target="https://www.extera.uk/wp-content/uploads/2016/08/cet-uk-case-study-avaya-ip-office-contact-center.pdf" TargetMode="External"/><Relationship Id="rId56" Type="http://schemas.openxmlformats.org/officeDocument/2006/relationships/hyperlink" Target="https://www.commsbusiness.co.uk/content/news/customer-services-outsourcer-selects-sabio-for-avaya-customer-contact-project" TargetMode="External"/><Relationship Id="rId57" Type="http://schemas.openxmlformats.org/officeDocument/2006/relationships/hyperlink" Target="https://contact-centres.com/teleperformance-uk-awards-cti-contract-for-its-avaya-telephony-platform-to-infinity-ccs/" TargetMode="External"/><Relationship Id="rId58" Type="http://schemas.openxmlformats.org/officeDocument/2006/relationships/hyperlink" Target="https://maintel.co.uk/case-studies/avon-2/" TargetMode="External"/><Relationship Id="rId59" Type="http://schemas.openxmlformats.org/officeDocument/2006/relationships/hyperlink" Target="https://www.avaya.com/en/about-avaya/newsroom/pr-uk-170109/" TargetMode="External"/><Relationship Id="rId60" Type="http://schemas.openxmlformats.org/officeDocument/2006/relationships/hyperlink" Target="https://www.callcentrehelper.com/call-recording-case-studies-57696.htm" TargetMode="External"/><Relationship Id="rId61" Type="http://schemas.openxmlformats.org/officeDocument/2006/relationships/hyperlink" Target="https://commsbusiness.co.uk/content/news/hotel-upgrade" TargetMode="External"/><Relationship Id="rId6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ashfordstpeters.info/answers-from-2024/9520-foi-request-10106-telephony-systems-and-contracts" TargetMode="External"/><Relationship Id="rId2" Type="http://schemas.openxmlformats.org/officeDocument/2006/relationships/hyperlink" Target="https://www.northyorkshire.police.uk/foi-ai/north-yorkshire-police/foi-disclosure-2021-22/june-2026/foi-0116-202627--telephony-contrac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2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c r="B4" s="3" t="s">
        <v>2</v>
      </c>
      <c r="C4" s="3" t="s">
        <v>3</v>
      </c>
      <c r="D4" s="3" t="s">
        <v>4</v>
      </c>
      <c r="E4" s="3" t="s">
        <v>5</v>
      </c>
    </row>
    <row r="5" customFormat="false" ht="15" hidden="false" customHeight="false" outlineLevel="0" collapsed="false">
      <c r="A5" s="4" t="s">
        <v>6</v>
      </c>
      <c r="B5" s="4" t="n">
        <f aca="false">COUNTIFS('Avaya list'!$A$2:$A$62,"Hot",'Avaya list'!$C$2:$C$62,"Private")</f>
        <v>1</v>
      </c>
      <c r="C5" s="4" t="n">
        <f aca="false">COUNTIFS('Avaya list'!$A$2:$A$62,"Warm",'Avaya list'!$C$2:$C$62,"Private")</f>
        <v>15</v>
      </c>
      <c r="D5" s="4" t="n">
        <f aca="false">COUNTIFS('Avaya list'!$A$2:$A$62,"Cold",'Avaya list'!$C$2:$C$62,"Private")</f>
        <v>19</v>
      </c>
      <c r="E5" s="5" t="n">
        <f aca="false">SUM(B5:D5)</f>
        <v>35</v>
      </c>
    </row>
    <row r="6" customFormat="false" ht="15" hidden="false" customHeight="false" outlineLevel="0" collapsed="false">
      <c r="A6" s="4" t="s">
        <v>7</v>
      </c>
      <c r="B6" s="4" t="n">
        <f aca="false">COUNTIFS('Avaya list'!$A$2:$A$62,"Hot",'Avaya list'!$C$2:$C$62,"Public")</f>
        <v>8</v>
      </c>
      <c r="C6" s="4" t="n">
        <f aca="false">COUNTIFS('Avaya list'!$A$2:$A$62,"Warm",'Avaya list'!$C$2:$C$62,"Public")</f>
        <v>8</v>
      </c>
      <c r="D6" s="4" t="n">
        <f aca="false">COUNTIFS('Avaya list'!$A$2:$A$62,"Cold",'Avaya list'!$C$2:$C$62,"Public")</f>
        <v>8</v>
      </c>
      <c r="E6" s="5" t="n">
        <f aca="false">SUM(B6:D6)</f>
        <v>24</v>
      </c>
    </row>
    <row r="7" customFormat="false" ht="15" hidden="false" customHeight="false" outlineLevel="0" collapsed="false">
      <c r="A7" s="4" t="s">
        <v>8</v>
      </c>
      <c r="B7" s="4" t="n">
        <f aca="false">COUNTIFS('Avaya list'!$A$2:$A$62,"Hot",'Avaya list'!$C$2:$C$62,"Charity")</f>
        <v>0</v>
      </c>
      <c r="C7" s="4" t="n">
        <f aca="false">COUNTIFS('Avaya list'!$A$2:$A$62,"Warm",'Avaya list'!$C$2:$C$62,"Charity")</f>
        <v>1</v>
      </c>
      <c r="D7" s="4" t="n">
        <f aca="false">COUNTIFS('Avaya list'!$A$2:$A$62,"Cold",'Avaya list'!$C$2:$C$62,"Charity")</f>
        <v>0</v>
      </c>
      <c r="E7" s="5" t="n">
        <f aca="false">SUM(B7:D7)</f>
        <v>1</v>
      </c>
    </row>
    <row r="8" customFormat="false" ht="15" hidden="false" customHeight="false" outlineLevel="0" collapsed="false">
      <c r="A8" s="4" t="s">
        <v>9</v>
      </c>
      <c r="B8" s="4" t="n">
        <f aca="false">COUNTIFS('Avaya list'!$A$2:$A$62,"Hot",'Avaya list'!$C$2:$C$62,"Unknown")</f>
        <v>1</v>
      </c>
      <c r="C8" s="4" t="n">
        <f aca="false">COUNTIFS('Avaya list'!$A$2:$A$62,"Warm",'Avaya list'!$C$2:$C$62,"Unknown")</f>
        <v>0</v>
      </c>
      <c r="D8" s="4" t="n">
        <f aca="false">COUNTIFS('Avaya list'!$A$2:$A$62,"Cold",'Avaya list'!$C$2:$C$62,"Unknown")</f>
        <v>0</v>
      </c>
      <c r="E8" s="5" t="n">
        <f aca="false">SUM(B8:D8)</f>
        <v>1</v>
      </c>
    </row>
    <row r="9" customFormat="false" ht="15" hidden="false" customHeight="false" outlineLevel="0" collapsed="false">
      <c r="A9" s="5" t="s">
        <v>5</v>
      </c>
      <c r="B9" s="5" t="n">
        <f aca="false">SUM(B5:B8)</f>
        <v>10</v>
      </c>
      <c r="C9" s="5" t="n">
        <f aca="false">SUM(C5:C8)</f>
        <v>24</v>
      </c>
      <c r="D9" s="5" t="n">
        <f aca="false">SUM(D5:D8)</f>
        <v>27</v>
      </c>
      <c r="E9" s="5" t="n">
        <f aca="false">SUM(E5:E8)</f>
        <v>61</v>
      </c>
    </row>
    <row r="11" customFormat="false" ht="15" hidden="false" customHeight="false" outlineLevel="0" collapsed="false">
      <c r="A11" s="6" t="s">
        <v>10</v>
      </c>
      <c r="B11" s="7"/>
      <c r="C11" s="7"/>
      <c r="D11" s="7"/>
      <c r="E11" s="7"/>
    </row>
    <row r="12" customFormat="false" ht="45" hidden="false" customHeight="true" outlineLevel="0" collapsed="false">
      <c r="A12" s="8" t="s">
        <v>2</v>
      </c>
      <c r="B12" s="7" t="s">
        <v>11</v>
      </c>
      <c r="C12" s="7"/>
      <c r="D12" s="7"/>
      <c r="E12" s="7"/>
    </row>
    <row r="13" customFormat="false" ht="30" hidden="false" customHeight="true" outlineLevel="0" collapsed="false">
      <c r="A13" s="9" t="s">
        <v>3</v>
      </c>
      <c r="B13" s="7" t="s">
        <v>12</v>
      </c>
      <c r="C13" s="7"/>
      <c r="D13" s="7"/>
      <c r="E13" s="7"/>
    </row>
    <row r="14" customFormat="false" ht="45" hidden="false" customHeight="true" outlineLevel="0" collapsed="false">
      <c r="A14" s="10" t="s">
        <v>4</v>
      </c>
      <c r="B14" s="7" t="s">
        <v>13</v>
      </c>
      <c r="C14" s="7"/>
      <c r="D14" s="7"/>
      <c r="E14" s="7"/>
    </row>
    <row r="15" customFormat="false" ht="15" hidden="false" customHeight="false" outlineLevel="0" collapsed="false">
      <c r="A15" s="11"/>
      <c r="B15" s="7"/>
      <c r="C15" s="7"/>
      <c r="D15" s="7"/>
      <c r="E15" s="7"/>
    </row>
    <row r="16" customFormat="false" ht="15" hidden="false" customHeight="false" outlineLevel="0" collapsed="false">
      <c r="A16" s="6" t="s">
        <v>14</v>
      </c>
      <c r="B16" s="7"/>
      <c r="C16" s="7"/>
      <c r="D16" s="7"/>
      <c r="E16" s="7"/>
    </row>
    <row r="17" customFormat="false" ht="45" hidden="false" customHeight="true" outlineLevel="0" collapsed="false">
      <c r="A17" s="11" t="s">
        <v>15</v>
      </c>
      <c r="B17" s="7" t="s">
        <v>16</v>
      </c>
      <c r="C17" s="7"/>
      <c r="D17" s="7"/>
      <c r="E17" s="7"/>
    </row>
    <row r="18" customFormat="false" ht="45" hidden="false" customHeight="true" outlineLevel="0" collapsed="false">
      <c r="A18" s="11" t="s">
        <v>17</v>
      </c>
      <c r="B18" s="7" t="s">
        <v>18</v>
      </c>
      <c r="C18" s="7"/>
      <c r="D18" s="7"/>
      <c r="E18" s="7"/>
    </row>
    <row r="19" customFormat="false" ht="45" hidden="false" customHeight="true" outlineLevel="0" collapsed="false">
      <c r="A19" s="11" t="s">
        <v>19</v>
      </c>
      <c r="B19" s="7" t="s">
        <v>20</v>
      </c>
      <c r="C19" s="7"/>
      <c r="D19" s="7"/>
      <c r="E19" s="7"/>
    </row>
    <row r="20" customFormat="false" ht="45" hidden="false" customHeight="true" outlineLevel="0" collapsed="false">
      <c r="A20" s="11" t="s">
        <v>21</v>
      </c>
      <c r="B20" s="7" t="s">
        <v>22</v>
      </c>
      <c r="C20" s="7"/>
      <c r="D20" s="7"/>
      <c r="E20" s="7"/>
    </row>
    <row r="21" customFormat="false" ht="30" hidden="false" customHeight="true" outlineLevel="0" collapsed="false">
      <c r="A21" s="11" t="s">
        <v>23</v>
      </c>
      <c r="B21" s="7" t="s">
        <v>24</v>
      </c>
      <c r="C21" s="7"/>
      <c r="D21" s="7"/>
      <c r="E21" s="7"/>
    </row>
  </sheetData>
  <mergeCells count="11">
    <mergeCell ref="B11:E11"/>
    <mergeCell ref="B12:E12"/>
    <mergeCell ref="B13:E13"/>
    <mergeCell ref="B14:E14"/>
    <mergeCell ref="B15:E15"/>
    <mergeCell ref="B16:E16"/>
    <mergeCell ref="B17:E17"/>
    <mergeCell ref="B18:E18"/>
    <mergeCell ref="B19:E19"/>
    <mergeCell ref="B20:E20"/>
    <mergeCell ref="B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10"/>
    <col collapsed="false" customWidth="true" hidden="false" outlineLevel="0" max="4" min="4" style="0" width="22"/>
    <col collapsed="false" customWidth="true" hidden="false" outlineLevel="0" max="5" min="5" style="0" width="24"/>
    <col collapsed="false" customWidth="true" hidden="false" outlineLevel="0" max="6" min="6" style="0" width="34"/>
    <col collapsed="false" customWidth="true" hidden="false" outlineLevel="0" max="7" min="7" style="0" width="40"/>
    <col collapsed="false" customWidth="true" hidden="false" outlineLevel="0" max="8" min="8" style="0" width="13"/>
    <col collapsed="false" customWidth="true" hidden="false" outlineLevel="0" max="9" min="9" style="0" width="40"/>
    <col collapsed="false" customWidth="true" hidden="false" outlineLevel="0" max="10" min="10" style="0" width="20"/>
    <col collapsed="false" customWidth="true" hidden="false" outlineLevel="0" max="11" min="11" style="0" width="11"/>
    <col collapsed="false" customWidth="true" hidden="false" outlineLevel="0" max="12" min="12" style="0" width="52"/>
    <col collapsed="false" customWidth="true" hidden="false" outlineLevel="0" max="14" min="13" style="0" width="14"/>
    <col collapsed="false" customWidth="true" hidden="false" outlineLevel="0" max="15" min="15" style="0" width="30"/>
  </cols>
  <sheetData>
    <row r="1" customFormat="false" ht="21.75" hidden="false" customHeight="true" outlineLevel="0" collapsed="false">
      <c r="A1" s="12" t="s">
        <v>25</v>
      </c>
      <c r="B1" s="12" t="s">
        <v>26</v>
      </c>
      <c r="C1" s="12" t="s">
        <v>27</v>
      </c>
      <c r="D1" s="12" t="s">
        <v>28</v>
      </c>
      <c r="E1" s="12" t="s">
        <v>29</v>
      </c>
      <c r="F1" s="12" t="s">
        <v>30</v>
      </c>
      <c r="G1" s="12" t="s">
        <v>31</v>
      </c>
      <c r="H1" s="12" t="s">
        <v>32</v>
      </c>
      <c r="I1" s="12" t="s">
        <v>33</v>
      </c>
      <c r="J1" s="12" t="s">
        <v>34</v>
      </c>
      <c r="K1" s="12" t="s">
        <v>35</v>
      </c>
      <c r="L1" s="12" t="s">
        <v>36</v>
      </c>
      <c r="M1" s="12" t="s">
        <v>37</v>
      </c>
      <c r="N1" s="12" t="s">
        <v>38</v>
      </c>
      <c r="O1" s="12" t="s">
        <v>39</v>
      </c>
    </row>
    <row r="2" customFormat="false" ht="23.85" hidden="false" customHeight="false" outlineLevel="0" collapsed="false">
      <c r="A2" s="13" t="s">
        <v>2</v>
      </c>
      <c r="B2" s="14" t="s">
        <v>40</v>
      </c>
      <c r="C2" s="14" t="s">
        <v>7</v>
      </c>
      <c r="D2" s="14" t="s">
        <v>41</v>
      </c>
      <c r="E2" s="14" t="s">
        <v>42</v>
      </c>
      <c r="F2" s="14" t="s">
        <v>43</v>
      </c>
      <c r="G2" s="14" t="s">
        <v>44</v>
      </c>
      <c r="H2" s="14" t="s">
        <v>45</v>
      </c>
      <c r="I2" s="14" t="s">
        <v>46</v>
      </c>
      <c r="J2" s="14" t="s">
        <v>47</v>
      </c>
      <c r="K2" s="14" t="s">
        <v>48</v>
      </c>
      <c r="L2" s="14" t="s">
        <v>49</v>
      </c>
      <c r="M2" s="15" t="s">
        <v>50</v>
      </c>
      <c r="N2" s="14"/>
      <c r="O2" s="14"/>
    </row>
    <row r="3" customFormat="false" ht="23.85" hidden="false" customHeight="false" outlineLevel="0" collapsed="false">
      <c r="A3" s="13" t="s">
        <v>2</v>
      </c>
      <c r="B3" s="14" t="s">
        <v>51</v>
      </c>
      <c r="C3" s="14" t="s">
        <v>7</v>
      </c>
      <c r="D3" s="14" t="s">
        <v>52</v>
      </c>
      <c r="E3" s="14" t="s">
        <v>53</v>
      </c>
      <c r="F3" s="14" t="s">
        <v>54</v>
      </c>
      <c r="G3" s="14" t="s">
        <v>55</v>
      </c>
      <c r="H3" s="14" t="s">
        <v>56</v>
      </c>
      <c r="I3" s="14" t="s">
        <v>57</v>
      </c>
      <c r="J3" s="14" t="s">
        <v>9</v>
      </c>
      <c r="K3" s="14" t="s">
        <v>48</v>
      </c>
      <c r="L3" s="14" t="s">
        <v>58</v>
      </c>
      <c r="M3" s="15" t="s">
        <v>50</v>
      </c>
      <c r="N3" s="14"/>
      <c r="O3" s="14"/>
    </row>
    <row r="4" customFormat="false" ht="23.85" hidden="false" customHeight="false" outlineLevel="0" collapsed="false">
      <c r="A4" s="13" t="s">
        <v>2</v>
      </c>
      <c r="B4" s="14" t="s">
        <v>59</v>
      </c>
      <c r="C4" s="14" t="s">
        <v>7</v>
      </c>
      <c r="D4" s="14" t="s">
        <v>60</v>
      </c>
      <c r="E4" s="14" t="s">
        <v>61</v>
      </c>
      <c r="F4" s="14" t="s">
        <v>62</v>
      </c>
      <c r="G4" s="14" t="s">
        <v>63</v>
      </c>
      <c r="H4" s="14" t="s">
        <v>64</v>
      </c>
      <c r="I4" s="14" t="s">
        <v>65</v>
      </c>
      <c r="J4" s="14" t="s">
        <v>9</v>
      </c>
      <c r="K4" s="14" t="s">
        <v>48</v>
      </c>
      <c r="L4" s="14" t="s">
        <v>66</v>
      </c>
      <c r="M4" s="15" t="s">
        <v>50</v>
      </c>
      <c r="N4" s="14"/>
      <c r="O4" s="14"/>
    </row>
    <row r="5" customFormat="false" ht="23.85" hidden="false" customHeight="false" outlineLevel="0" collapsed="false">
      <c r="A5" s="13" t="s">
        <v>2</v>
      </c>
      <c r="B5" s="14" t="s">
        <v>67</v>
      </c>
      <c r="C5" s="14" t="s">
        <v>7</v>
      </c>
      <c r="D5" s="14" t="s">
        <v>68</v>
      </c>
      <c r="E5" s="14" t="s">
        <v>69</v>
      </c>
      <c r="F5" s="14" t="s">
        <v>70</v>
      </c>
      <c r="G5" s="14" t="s">
        <v>71</v>
      </c>
      <c r="H5" s="14" t="s">
        <v>72</v>
      </c>
      <c r="I5" s="14" t="s">
        <v>73</v>
      </c>
      <c r="J5" s="14" t="s">
        <v>74</v>
      </c>
      <c r="K5" s="14" t="s">
        <v>48</v>
      </c>
      <c r="L5" s="14" t="s">
        <v>75</v>
      </c>
      <c r="M5" s="15" t="s">
        <v>50</v>
      </c>
      <c r="N5" s="14"/>
      <c r="O5" s="14"/>
    </row>
    <row r="6" customFormat="false" ht="23.85" hidden="false" customHeight="false" outlineLevel="0" collapsed="false">
      <c r="A6" s="13" t="s">
        <v>2</v>
      </c>
      <c r="B6" s="14" t="s">
        <v>76</v>
      </c>
      <c r="C6" s="14" t="s">
        <v>7</v>
      </c>
      <c r="D6" s="14" t="s">
        <v>77</v>
      </c>
      <c r="E6" s="14" t="s">
        <v>78</v>
      </c>
      <c r="F6" s="14" t="s">
        <v>79</v>
      </c>
      <c r="G6" s="14" t="s">
        <v>80</v>
      </c>
      <c r="H6" s="14" t="s">
        <v>81</v>
      </c>
      <c r="I6" s="14" t="s">
        <v>82</v>
      </c>
      <c r="J6" s="14" t="s">
        <v>83</v>
      </c>
      <c r="K6" s="14" t="s">
        <v>84</v>
      </c>
      <c r="L6" s="14" t="s">
        <v>85</v>
      </c>
      <c r="M6" s="15" t="s">
        <v>50</v>
      </c>
      <c r="N6" s="14"/>
      <c r="O6" s="14"/>
    </row>
    <row r="7" customFormat="false" ht="23.85" hidden="false" customHeight="false" outlineLevel="0" collapsed="false">
      <c r="A7" s="13" t="s">
        <v>2</v>
      </c>
      <c r="B7" s="14" t="s">
        <v>86</v>
      </c>
      <c r="C7" s="14" t="s">
        <v>7</v>
      </c>
      <c r="D7" s="14" t="s">
        <v>87</v>
      </c>
      <c r="E7" s="14" t="s">
        <v>88</v>
      </c>
      <c r="F7" s="14" t="s">
        <v>89</v>
      </c>
      <c r="G7" s="14" t="s">
        <v>90</v>
      </c>
      <c r="H7" s="14" t="s">
        <v>91</v>
      </c>
      <c r="I7" s="14" t="s">
        <v>92</v>
      </c>
      <c r="J7" s="14" t="s">
        <v>74</v>
      </c>
      <c r="K7" s="14" t="s">
        <v>48</v>
      </c>
      <c r="L7" s="14" t="s">
        <v>93</v>
      </c>
      <c r="M7" s="15" t="s">
        <v>50</v>
      </c>
      <c r="N7" s="14"/>
      <c r="O7" s="14"/>
    </row>
    <row r="8" customFormat="false" ht="23.85" hidden="false" customHeight="false" outlineLevel="0" collapsed="false">
      <c r="A8" s="13" t="s">
        <v>2</v>
      </c>
      <c r="B8" s="14" t="s">
        <v>94</v>
      </c>
      <c r="C8" s="14" t="s">
        <v>7</v>
      </c>
      <c r="D8" s="14" t="s">
        <v>95</v>
      </c>
      <c r="E8" s="14" t="s">
        <v>96</v>
      </c>
      <c r="F8" s="14" t="s">
        <v>97</v>
      </c>
      <c r="G8" s="14" t="s">
        <v>98</v>
      </c>
      <c r="H8" s="14" t="s">
        <v>99</v>
      </c>
      <c r="I8" s="14" t="s">
        <v>100</v>
      </c>
      <c r="J8" s="14" t="s">
        <v>74</v>
      </c>
      <c r="K8" s="14" t="s">
        <v>48</v>
      </c>
      <c r="L8" s="14" t="s">
        <v>101</v>
      </c>
      <c r="M8" s="15" t="s">
        <v>50</v>
      </c>
      <c r="N8" s="14"/>
      <c r="O8" s="14"/>
    </row>
    <row r="9" customFormat="false" ht="23.85" hidden="false" customHeight="false" outlineLevel="0" collapsed="false">
      <c r="A9" s="13" t="s">
        <v>2</v>
      </c>
      <c r="B9" s="14" t="s">
        <v>102</v>
      </c>
      <c r="C9" s="14" t="s">
        <v>7</v>
      </c>
      <c r="D9" s="14" t="s">
        <v>103</v>
      </c>
      <c r="E9" s="14" t="s">
        <v>104</v>
      </c>
      <c r="F9" s="14" t="s">
        <v>105</v>
      </c>
      <c r="G9" s="14" t="s">
        <v>106</v>
      </c>
      <c r="H9" s="14" t="s">
        <v>45</v>
      </c>
      <c r="I9" s="14" t="s">
        <v>107</v>
      </c>
      <c r="J9" s="14" t="s">
        <v>108</v>
      </c>
      <c r="K9" s="14" t="s">
        <v>48</v>
      </c>
      <c r="L9" s="14" t="s">
        <v>109</v>
      </c>
      <c r="M9" s="15" t="s">
        <v>50</v>
      </c>
      <c r="N9" s="14"/>
      <c r="O9" s="14"/>
    </row>
    <row r="10" customFormat="false" ht="23.85" hidden="false" customHeight="false" outlineLevel="0" collapsed="false">
      <c r="A10" s="13" t="s">
        <v>2</v>
      </c>
      <c r="B10" s="14" t="s">
        <v>110</v>
      </c>
      <c r="C10" s="14" t="s">
        <v>6</v>
      </c>
      <c r="D10" s="14" t="s">
        <v>111</v>
      </c>
      <c r="E10" s="14" t="s">
        <v>112</v>
      </c>
      <c r="F10" s="14" t="s">
        <v>113</v>
      </c>
      <c r="G10" s="14" t="s">
        <v>114</v>
      </c>
      <c r="H10" s="14" t="s">
        <v>115</v>
      </c>
      <c r="I10" s="14" t="s">
        <v>116</v>
      </c>
      <c r="J10" s="14" t="s">
        <v>9</v>
      </c>
      <c r="K10" s="14" t="s">
        <v>48</v>
      </c>
      <c r="L10" s="14" t="s">
        <v>117</v>
      </c>
      <c r="M10" s="15" t="s">
        <v>50</v>
      </c>
      <c r="N10" s="14"/>
      <c r="O10" s="14"/>
    </row>
    <row r="11" customFormat="false" ht="23.85" hidden="false" customHeight="false" outlineLevel="0" collapsed="false">
      <c r="A11" s="13" t="s">
        <v>2</v>
      </c>
      <c r="B11" s="14" t="s">
        <v>118</v>
      </c>
      <c r="C11" s="14" t="s">
        <v>9</v>
      </c>
      <c r="D11" s="14" t="s">
        <v>119</v>
      </c>
      <c r="E11" s="14" t="s">
        <v>120</v>
      </c>
      <c r="F11" s="14" t="s">
        <v>121</v>
      </c>
      <c r="G11" s="14" t="s">
        <v>122</v>
      </c>
      <c r="H11" s="14" t="s">
        <v>123</v>
      </c>
      <c r="I11" s="14" t="s">
        <v>124</v>
      </c>
      <c r="J11" s="14" t="s">
        <v>9</v>
      </c>
      <c r="K11" s="14" t="s">
        <v>84</v>
      </c>
      <c r="L11" s="14" t="s">
        <v>125</v>
      </c>
      <c r="M11" s="15" t="s">
        <v>50</v>
      </c>
      <c r="N11" s="14"/>
      <c r="O11" s="14"/>
    </row>
    <row r="12" customFormat="false" ht="23.85" hidden="false" customHeight="false" outlineLevel="0" collapsed="false">
      <c r="A12" s="16" t="s">
        <v>3</v>
      </c>
      <c r="B12" s="14" t="s">
        <v>126</v>
      </c>
      <c r="C12" s="14" t="s">
        <v>7</v>
      </c>
      <c r="D12" s="14" t="s">
        <v>41</v>
      </c>
      <c r="E12" s="14" t="s">
        <v>127</v>
      </c>
      <c r="F12" s="14" t="s">
        <v>128</v>
      </c>
      <c r="G12" s="14" t="s">
        <v>129</v>
      </c>
      <c r="H12" s="14" t="s">
        <v>64</v>
      </c>
      <c r="I12" s="14" t="s">
        <v>130</v>
      </c>
      <c r="J12" s="14" t="s">
        <v>131</v>
      </c>
      <c r="K12" s="14" t="s">
        <v>48</v>
      </c>
      <c r="L12" s="14" t="s">
        <v>132</v>
      </c>
      <c r="M12" s="15" t="s">
        <v>50</v>
      </c>
      <c r="N12" s="14"/>
      <c r="O12" s="14"/>
    </row>
    <row r="13" customFormat="false" ht="23.85" hidden="false" customHeight="false" outlineLevel="0" collapsed="false">
      <c r="A13" s="16" t="s">
        <v>3</v>
      </c>
      <c r="B13" s="14" t="s">
        <v>133</v>
      </c>
      <c r="C13" s="14" t="s">
        <v>7</v>
      </c>
      <c r="D13" s="14" t="s">
        <v>52</v>
      </c>
      <c r="E13" s="14" t="s">
        <v>134</v>
      </c>
      <c r="F13" s="14" t="s">
        <v>135</v>
      </c>
      <c r="G13" s="14" t="s">
        <v>136</v>
      </c>
      <c r="H13" s="14" t="s">
        <v>137</v>
      </c>
      <c r="I13" s="14" t="s">
        <v>138</v>
      </c>
      <c r="J13" s="14" t="s">
        <v>139</v>
      </c>
      <c r="K13" s="14" t="s">
        <v>48</v>
      </c>
      <c r="L13" s="14" t="s">
        <v>140</v>
      </c>
      <c r="M13" s="15" t="s">
        <v>50</v>
      </c>
      <c r="N13" s="14"/>
      <c r="O13" s="14"/>
    </row>
    <row r="14" customFormat="false" ht="23.85" hidden="false" customHeight="false" outlineLevel="0" collapsed="false">
      <c r="A14" s="16" t="s">
        <v>3</v>
      </c>
      <c r="B14" s="14" t="s">
        <v>141</v>
      </c>
      <c r="C14" s="14" t="s">
        <v>7</v>
      </c>
      <c r="D14" s="14" t="s">
        <v>142</v>
      </c>
      <c r="E14" s="14" t="s">
        <v>143</v>
      </c>
      <c r="F14" s="14" t="s">
        <v>144</v>
      </c>
      <c r="G14" s="14" t="s">
        <v>145</v>
      </c>
      <c r="H14" s="14" t="s">
        <v>146</v>
      </c>
      <c r="I14" s="14" t="s">
        <v>116</v>
      </c>
      <c r="J14" s="14" t="s">
        <v>9</v>
      </c>
      <c r="K14" s="14" t="s">
        <v>84</v>
      </c>
      <c r="L14" s="14" t="s">
        <v>147</v>
      </c>
      <c r="M14" s="15" t="s">
        <v>50</v>
      </c>
      <c r="N14" s="14"/>
      <c r="O14" s="14"/>
    </row>
    <row r="15" customFormat="false" ht="15" hidden="false" customHeight="false" outlineLevel="0" collapsed="false">
      <c r="A15" s="16" t="s">
        <v>3</v>
      </c>
      <c r="B15" s="14" t="s">
        <v>148</v>
      </c>
      <c r="C15" s="14" t="s">
        <v>7</v>
      </c>
      <c r="D15" s="14" t="s">
        <v>41</v>
      </c>
      <c r="E15" s="14" t="s">
        <v>149</v>
      </c>
      <c r="F15" s="14" t="s">
        <v>150</v>
      </c>
      <c r="G15" s="14" t="s">
        <v>151</v>
      </c>
      <c r="H15" s="14" t="s">
        <v>91</v>
      </c>
      <c r="I15" s="14" t="s">
        <v>152</v>
      </c>
      <c r="J15" s="14" t="s">
        <v>74</v>
      </c>
      <c r="K15" s="14" t="s">
        <v>48</v>
      </c>
      <c r="L15" s="14" t="s">
        <v>153</v>
      </c>
      <c r="M15" s="15" t="s">
        <v>50</v>
      </c>
      <c r="N15" s="14"/>
      <c r="O15" s="14"/>
    </row>
    <row r="16" customFormat="false" ht="23.85" hidden="false" customHeight="false" outlineLevel="0" collapsed="false">
      <c r="A16" s="16" t="s">
        <v>3</v>
      </c>
      <c r="B16" s="14" t="s">
        <v>154</v>
      </c>
      <c r="C16" s="14" t="s">
        <v>7</v>
      </c>
      <c r="D16" s="14" t="s">
        <v>52</v>
      </c>
      <c r="E16" s="14" t="s">
        <v>155</v>
      </c>
      <c r="F16" s="14" t="s">
        <v>156</v>
      </c>
      <c r="G16" s="14" t="s">
        <v>157</v>
      </c>
      <c r="H16" s="14" t="s">
        <v>158</v>
      </c>
      <c r="I16" s="14" t="s">
        <v>159</v>
      </c>
      <c r="J16" s="14" t="s">
        <v>160</v>
      </c>
      <c r="K16" s="14" t="s">
        <v>48</v>
      </c>
      <c r="L16" s="14" t="s">
        <v>161</v>
      </c>
      <c r="M16" s="15" t="s">
        <v>50</v>
      </c>
      <c r="N16" s="14"/>
      <c r="O16" s="14"/>
    </row>
    <row r="17" customFormat="false" ht="23.85" hidden="false" customHeight="false" outlineLevel="0" collapsed="false">
      <c r="A17" s="16" t="s">
        <v>3</v>
      </c>
      <c r="B17" s="14" t="s">
        <v>162</v>
      </c>
      <c r="C17" s="14" t="s">
        <v>7</v>
      </c>
      <c r="D17" s="14" t="s">
        <v>163</v>
      </c>
      <c r="E17" s="14" t="s">
        <v>134</v>
      </c>
      <c r="F17" s="14" t="s">
        <v>164</v>
      </c>
      <c r="G17" s="14" t="s">
        <v>165</v>
      </c>
      <c r="H17" s="14" t="s">
        <v>123</v>
      </c>
      <c r="I17" s="14" t="s">
        <v>116</v>
      </c>
      <c r="J17" s="14" t="s">
        <v>9</v>
      </c>
      <c r="K17" s="14" t="s">
        <v>84</v>
      </c>
      <c r="L17" s="14" t="s">
        <v>166</v>
      </c>
      <c r="M17" s="15" t="s">
        <v>50</v>
      </c>
      <c r="N17" s="14"/>
      <c r="O17" s="14"/>
    </row>
    <row r="18" customFormat="false" ht="23.85" hidden="false" customHeight="false" outlineLevel="0" collapsed="false">
      <c r="A18" s="16" t="s">
        <v>3</v>
      </c>
      <c r="B18" s="14" t="s">
        <v>167</v>
      </c>
      <c r="C18" s="14" t="s">
        <v>6</v>
      </c>
      <c r="D18" s="14" t="s">
        <v>168</v>
      </c>
      <c r="E18" s="14" t="s">
        <v>169</v>
      </c>
      <c r="F18" s="14" t="s">
        <v>170</v>
      </c>
      <c r="G18" s="14" t="s">
        <v>171</v>
      </c>
      <c r="H18" s="14" t="s">
        <v>172</v>
      </c>
      <c r="I18" s="14" t="s">
        <v>116</v>
      </c>
      <c r="J18" s="14" t="s">
        <v>173</v>
      </c>
      <c r="K18" s="14" t="s">
        <v>48</v>
      </c>
      <c r="L18" s="14" t="s">
        <v>174</v>
      </c>
      <c r="M18" s="15" t="s">
        <v>50</v>
      </c>
      <c r="N18" s="14"/>
      <c r="O18" s="14"/>
    </row>
    <row r="19" customFormat="false" ht="15" hidden="false" customHeight="false" outlineLevel="0" collapsed="false">
      <c r="A19" s="16" t="s">
        <v>3</v>
      </c>
      <c r="B19" s="14" t="s">
        <v>175</v>
      </c>
      <c r="C19" s="14" t="s">
        <v>6</v>
      </c>
      <c r="D19" s="14" t="s">
        <v>168</v>
      </c>
      <c r="E19" s="14" t="s">
        <v>176</v>
      </c>
      <c r="F19" s="14" t="s">
        <v>177</v>
      </c>
      <c r="G19" s="14" t="s">
        <v>178</v>
      </c>
      <c r="H19" s="14" t="s">
        <v>179</v>
      </c>
      <c r="I19" s="14" t="s">
        <v>116</v>
      </c>
      <c r="J19" s="14" t="s">
        <v>180</v>
      </c>
      <c r="K19" s="14" t="s">
        <v>84</v>
      </c>
      <c r="L19" s="14" t="s">
        <v>181</v>
      </c>
      <c r="M19" s="15" t="s">
        <v>50</v>
      </c>
      <c r="N19" s="14"/>
      <c r="O19" s="14"/>
    </row>
    <row r="20" customFormat="false" ht="15" hidden="false" customHeight="false" outlineLevel="0" collapsed="false">
      <c r="A20" s="16" t="s">
        <v>3</v>
      </c>
      <c r="B20" s="14" t="s">
        <v>182</v>
      </c>
      <c r="C20" s="14" t="s">
        <v>6</v>
      </c>
      <c r="D20" s="14" t="s">
        <v>183</v>
      </c>
      <c r="E20" s="14" t="s">
        <v>184</v>
      </c>
      <c r="F20" s="14" t="s">
        <v>185</v>
      </c>
      <c r="G20" s="14" t="s">
        <v>186</v>
      </c>
      <c r="H20" s="14" t="s">
        <v>187</v>
      </c>
      <c r="I20" s="14" t="s">
        <v>116</v>
      </c>
      <c r="J20" s="14" t="s">
        <v>139</v>
      </c>
      <c r="K20" s="14" t="s">
        <v>84</v>
      </c>
      <c r="L20" s="14" t="s">
        <v>188</v>
      </c>
      <c r="M20" s="15" t="s">
        <v>50</v>
      </c>
      <c r="N20" s="14"/>
      <c r="O20" s="14"/>
    </row>
    <row r="21" customFormat="false" ht="15" hidden="false" customHeight="false" outlineLevel="0" collapsed="false">
      <c r="A21" s="16" t="s">
        <v>3</v>
      </c>
      <c r="B21" s="14" t="s">
        <v>189</v>
      </c>
      <c r="C21" s="14" t="s">
        <v>6</v>
      </c>
      <c r="D21" s="14" t="s">
        <v>190</v>
      </c>
      <c r="E21" s="14" t="s">
        <v>191</v>
      </c>
      <c r="F21" s="14" t="s">
        <v>192</v>
      </c>
      <c r="G21" s="14" t="s">
        <v>193</v>
      </c>
      <c r="H21" s="14" t="s">
        <v>158</v>
      </c>
      <c r="I21" s="14" t="s">
        <v>116</v>
      </c>
      <c r="J21" s="14" t="s">
        <v>194</v>
      </c>
      <c r="K21" s="14" t="s">
        <v>84</v>
      </c>
      <c r="L21" s="14" t="s">
        <v>195</v>
      </c>
      <c r="M21" s="15" t="s">
        <v>50</v>
      </c>
      <c r="N21" s="14"/>
      <c r="O21" s="14"/>
    </row>
    <row r="22" customFormat="false" ht="15" hidden="false" customHeight="false" outlineLevel="0" collapsed="false">
      <c r="A22" s="16" t="s">
        <v>3</v>
      </c>
      <c r="B22" s="14" t="s">
        <v>196</v>
      </c>
      <c r="C22" s="14" t="s">
        <v>6</v>
      </c>
      <c r="D22" s="14" t="s">
        <v>190</v>
      </c>
      <c r="E22" s="14" t="s">
        <v>197</v>
      </c>
      <c r="F22" s="14" t="s">
        <v>198</v>
      </c>
      <c r="G22" s="14" t="s">
        <v>199</v>
      </c>
      <c r="H22" s="14" t="s">
        <v>146</v>
      </c>
      <c r="I22" s="14" t="s">
        <v>116</v>
      </c>
      <c r="J22" s="14" t="s">
        <v>74</v>
      </c>
      <c r="K22" s="14" t="s">
        <v>84</v>
      </c>
      <c r="L22" s="14" t="s">
        <v>200</v>
      </c>
      <c r="M22" s="15" t="s">
        <v>50</v>
      </c>
      <c r="N22" s="14"/>
      <c r="O22" s="14"/>
    </row>
    <row r="23" customFormat="false" ht="23.85" hidden="false" customHeight="false" outlineLevel="0" collapsed="false">
      <c r="A23" s="16" t="s">
        <v>3</v>
      </c>
      <c r="B23" s="14" t="s">
        <v>201</v>
      </c>
      <c r="C23" s="14" t="s">
        <v>6</v>
      </c>
      <c r="D23" s="14" t="s">
        <v>190</v>
      </c>
      <c r="E23" s="14" t="s">
        <v>202</v>
      </c>
      <c r="F23" s="14" t="s">
        <v>203</v>
      </c>
      <c r="G23" s="14" t="s">
        <v>204</v>
      </c>
      <c r="H23" s="14" t="s">
        <v>205</v>
      </c>
      <c r="I23" s="14" t="s">
        <v>116</v>
      </c>
      <c r="J23" s="14" t="s">
        <v>139</v>
      </c>
      <c r="K23" s="14" t="s">
        <v>206</v>
      </c>
      <c r="L23" s="14" t="s">
        <v>207</v>
      </c>
      <c r="M23" s="15" t="s">
        <v>50</v>
      </c>
      <c r="N23" s="14"/>
      <c r="O23" s="14"/>
    </row>
    <row r="24" customFormat="false" ht="23.85" hidden="false" customHeight="false" outlineLevel="0" collapsed="false">
      <c r="A24" s="16" t="s">
        <v>3</v>
      </c>
      <c r="B24" s="14" t="s">
        <v>208</v>
      </c>
      <c r="C24" s="14" t="s">
        <v>6</v>
      </c>
      <c r="D24" s="14" t="s">
        <v>168</v>
      </c>
      <c r="E24" s="14" t="s">
        <v>209</v>
      </c>
      <c r="F24" s="14" t="s">
        <v>210</v>
      </c>
      <c r="G24" s="14" t="s">
        <v>211</v>
      </c>
      <c r="H24" s="14" t="s">
        <v>212</v>
      </c>
      <c r="I24" s="14" t="s">
        <v>213</v>
      </c>
      <c r="J24" s="14" t="s">
        <v>139</v>
      </c>
      <c r="K24" s="14" t="s">
        <v>84</v>
      </c>
      <c r="L24" s="14" t="s">
        <v>214</v>
      </c>
      <c r="M24" s="15" t="s">
        <v>50</v>
      </c>
      <c r="N24" s="14"/>
      <c r="O24" s="14"/>
    </row>
    <row r="25" customFormat="false" ht="23.85" hidden="false" customHeight="false" outlineLevel="0" collapsed="false">
      <c r="A25" s="16" t="s">
        <v>3</v>
      </c>
      <c r="B25" s="14" t="s">
        <v>215</v>
      </c>
      <c r="C25" s="14" t="s">
        <v>6</v>
      </c>
      <c r="D25" s="14" t="s">
        <v>216</v>
      </c>
      <c r="E25" s="14" t="s">
        <v>217</v>
      </c>
      <c r="F25" s="14" t="s">
        <v>218</v>
      </c>
      <c r="G25" s="14" t="s">
        <v>219</v>
      </c>
      <c r="H25" s="14" t="s">
        <v>220</v>
      </c>
      <c r="I25" s="14" t="s">
        <v>116</v>
      </c>
      <c r="J25" s="14" t="s">
        <v>221</v>
      </c>
      <c r="K25" s="14" t="s">
        <v>84</v>
      </c>
      <c r="L25" s="14" t="s">
        <v>222</v>
      </c>
      <c r="M25" s="15" t="s">
        <v>50</v>
      </c>
      <c r="N25" s="14"/>
      <c r="O25" s="14"/>
    </row>
    <row r="26" customFormat="false" ht="23.85" hidden="false" customHeight="false" outlineLevel="0" collapsed="false">
      <c r="A26" s="16" t="s">
        <v>3</v>
      </c>
      <c r="B26" s="14" t="s">
        <v>223</v>
      </c>
      <c r="C26" s="14" t="s">
        <v>6</v>
      </c>
      <c r="D26" s="14" t="s">
        <v>224</v>
      </c>
      <c r="E26" s="14" t="s">
        <v>225</v>
      </c>
      <c r="F26" s="14" t="s">
        <v>226</v>
      </c>
      <c r="G26" s="14" t="s">
        <v>171</v>
      </c>
      <c r="H26" s="14" t="s">
        <v>227</v>
      </c>
      <c r="I26" s="14" t="s">
        <v>116</v>
      </c>
      <c r="J26" s="14" t="s">
        <v>228</v>
      </c>
      <c r="K26" s="14" t="s">
        <v>84</v>
      </c>
      <c r="L26" s="14" t="s">
        <v>229</v>
      </c>
      <c r="M26" s="15" t="s">
        <v>50</v>
      </c>
      <c r="N26" s="14"/>
      <c r="O26" s="14"/>
    </row>
    <row r="27" customFormat="false" ht="23.85" hidden="false" customHeight="false" outlineLevel="0" collapsed="false">
      <c r="A27" s="16" t="s">
        <v>3</v>
      </c>
      <c r="B27" s="14" t="s">
        <v>230</v>
      </c>
      <c r="C27" s="14" t="s">
        <v>6</v>
      </c>
      <c r="D27" s="14" t="s">
        <v>231</v>
      </c>
      <c r="E27" s="14" t="s">
        <v>134</v>
      </c>
      <c r="F27" s="14" t="s">
        <v>232</v>
      </c>
      <c r="G27" s="14" t="s">
        <v>178</v>
      </c>
      <c r="H27" s="14" t="s">
        <v>233</v>
      </c>
      <c r="I27" s="14" t="s">
        <v>116</v>
      </c>
      <c r="J27" s="14" t="s">
        <v>228</v>
      </c>
      <c r="K27" s="14" t="s">
        <v>84</v>
      </c>
      <c r="L27" s="14" t="s">
        <v>234</v>
      </c>
      <c r="M27" s="15" t="s">
        <v>50</v>
      </c>
      <c r="N27" s="14"/>
      <c r="O27" s="14"/>
    </row>
    <row r="28" customFormat="false" ht="15" hidden="false" customHeight="false" outlineLevel="0" collapsed="false">
      <c r="A28" s="16" t="s">
        <v>3</v>
      </c>
      <c r="B28" s="14" t="s">
        <v>235</v>
      </c>
      <c r="C28" s="14" t="s">
        <v>6</v>
      </c>
      <c r="D28" s="14" t="s">
        <v>236</v>
      </c>
      <c r="E28" s="14" t="s">
        <v>237</v>
      </c>
      <c r="F28" s="14" t="s">
        <v>238</v>
      </c>
      <c r="G28" s="14" t="s">
        <v>171</v>
      </c>
      <c r="H28" s="14" t="s">
        <v>239</v>
      </c>
      <c r="I28" s="14" t="s">
        <v>116</v>
      </c>
      <c r="J28" s="14" t="s">
        <v>228</v>
      </c>
      <c r="K28" s="14" t="s">
        <v>84</v>
      </c>
      <c r="L28" s="14" t="s">
        <v>240</v>
      </c>
      <c r="M28" s="15" t="s">
        <v>50</v>
      </c>
      <c r="N28" s="14"/>
      <c r="O28" s="14"/>
    </row>
    <row r="29" customFormat="false" ht="15" hidden="false" customHeight="false" outlineLevel="0" collapsed="false">
      <c r="A29" s="16" t="s">
        <v>3</v>
      </c>
      <c r="B29" s="14" t="s">
        <v>241</v>
      </c>
      <c r="C29" s="14" t="s">
        <v>6</v>
      </c>
      <c r="D29" s="14" t="s">
        <v>242</v>
      </c>
      <c r="E29" s="14" t="s">
        <v>243</v>
      </c>
      <c r="F29" s="14" t="s">
        <v>244</v>
      </c>
      <c r="G29" s="14" t="s">
        <v>171</v>
      </c>
      <c r="H29" s="14" t="s">
        <v>245</v>
      </c>
      <c r="I29" s="14" t="s">
        <v>116</v>
      </c>
      <c r="J29" s="14" t="s">
        <v>9</v>
      </c>
      <c r="K29" s="14" t="s">
        <v>84</v>
      </c>
      <c r="L29" s="14" t="s">
        <v>246</v>
      </c>
      <c r="M29" s="15" t="s">
        <v>50</v>
      </c>
      <c r="N29" s="14"/>
      <c r="O29" s="14"/>
    </row>
    <row r="30" customFormat="false" ht="15" hidden="false" customHeight="false" outlineLevel="0" collapsed="false">
      <c r="A30" s="16" t="s">
        <v>3</v>
      </c>
      <c r="B30" s="14" t="s">
        <v>247</v>
      </c>
      <c r="C30" s="14" t="s">
        <v>6</v>
      </c>
      <c r="D30" s="14" t="s">
        <v>248</v>
      </c>
      <c r="E30" s="14" t="s">
        <v>149</v>
      </c>
      <c r="F30" s="14" t="s">
        <v>244</v>
      </c>
      <c r="G30" s="14" t="s">
        <v>249</v>
      </c>
      <c r="H30" s="14" t="s">
        <v>212</v>
      </c>
      <c r="I30" s="14" t="s">
        <v>116</v>
      </c>
      <c r="J30" s="14" t="s">
        <v>250</v>
      </c>
      <c r="K30" s="14" t="s">
        <v>84</v>
      </c>
      <c r="L30" s="14" t="s">
        <v>251</v>
      </c>
      <c r="M30" s="15" t="s">
        <v>50</v>
      </c>
      <c r="N30" s="14"/>
      <c r="O30" s="14"/>
    </row>
    <row r="31" customFormat="false" ht="15" hidden="false" customHeight="false" outlineLevel="0" collapsed="false">
      <c r="A31" s="16" t="s">
        <v>3</v>
      </c>
      <c r="B31" s="14" t="s">
        <v>252</v>
      </c>
      <c r="C31" s="14" t="s">
        <v>6</v>
      </c>
      <c r="D31" s="14" t="s">
        <v>253</v>
      </c>
      <c r="E31" s="14" t="s">
        <v>237</v>
      </c>
      <c r="F31" s="14" t="s">
        <v>254</v>
      </c>
      <c r="G31" s="14" t="s">
        <v>255</v>
      </c>
      <c r="H31" s="14" t="s">
        <v>146</v>
      </c>
      <c r="I31" s="14" t="s">
        <v>116</v>
      </c>
      <c r="J31" s="14" t="s">
        <v>256</v>
      </c>
      <c r="K31" s="14" t="s">
        <v>84</v>
      </c>
      <c r="L31" s="14" t="s">
        <v>257</v>
      </c>
      <c r="M31" s="15" t="s">
        <v>50</v>
      </c>
      <c r="N31" s="14"/>
      <c r="O31" s="14"/>
    </row>
    <row r="32" customFormat="false" ht="15" hidden="false" customHeight="false" outlineLevel="0" collapsed="false">
      <c r="A32" s="16" t="s">
        <v>3</v>
      </c>
      <c r="B32" s="14" t="s">
        <v>258</v>
      </c>
      <c r="C32" s="14" t="s">
        <v>7</v>
      </c>
      <c r="D32" s="14" t="s">
        <v>259</v>
      </c>
      <c r="E32" s="14" t="s">
        <v>260</v>
      </c>
      <c r="F32" s="14" t="s">
        <v>261</v>
      </c>
      <c r="G32" s="14" t="s">
        <v>255</v>
      </c>
      <c r="H32" s="14" t="s">
        <v>146</v>
      </c>
      <c r="I32" s="14" t="s">
        <v>116</v>
      </c>
      <c r="J32" s="14" t="s">
        <v>256</v>
      </c>
      <c r="K32" s="14" t="s">
        <v>84</v>
      </c>
      <c r="L32" s="14" t="s">
        <v>262</v>
      </c>
      <c r="M32" s="15" t="s">
        <v>50</v>
      </c>
      <c r="N32" s="14"/>
      <c r="O32" s="14"/>
    </row>
    <row r="33" customFormat="false" ht="15" hidden="false" customHeight="false" outlineLevel="0" collapsed="false">
      <c r="A33" s="16" t="s">
        <v>3</v>
      </c>
      <c r="B33" s="14" t="s">
        <v>263</v>
      </c>
      <c r="C33" s="14" t="s">
        <v>6</v>
      </c>
      <c r="D33" s="14" t="s">
        <v>264</v>
      </c>
      <c r="E33" s="14" t="s">
        <v>265</v>
      </c>
      <c r="F33" s="14" t="s">
        <v>266</v>
      </c>
      <c r="G33" s="14" t="s">
        <v>171</v>
      </c>
      <c r="H33" s="14" t="s">
        <v>267</v>
      </c>
      <c r="I33" s="14" t="s">
        <v>116</v>
      </c>
      <c r="J33" s="14" t="s">
        <v>256</v>
      </c>
      <c r="K33" s="14" t="s">
        <v>84</v>
      </c>
      <c r="L33" s="14" t="s">
        <v>268</v>
      </c>
      <c r="M33" s="15" t="s">
        <v>50</v>
      </c>
      <c r="N33" s="14"/>
      <c r="O33" s="14"/>
    </row>
    <row r="34" customFormat="false" ht="15" hidden="false" customHeight="false" outlineLevel="0" collapsed="false">
      <c r="A34" s="16" t="s">
        <v>3</v>
      </c>
      <c r="B34" s="14" t="s">
        <v>269</v>
      </c>
      <c r="C34" s="14" t="s">
        <v>7</v>
      </c>
      <c r="D34" s="14" t="s">
        <v>270</v>
      </c>
      <c r="E34" s="14" t="s">
        <v>271</v>
      </c>
      <c r="F34" s="14" t="s">
        <v>244</v>
      </c>
      <c r="G34" s="14" t="s">
        <v>255</v>
      </c>
      <c r="H34" s="14" t="s">
        <v>146</v>
      </c>
      <c r="I34" s="14" t="s">
        <v>116</v>
      </c>
      <c r="J34" s="14" t="s">
        <v>256</v>
      </c>
      <c r="K34" s="14" t="s">
        <v>84</v>
      </c>
      <c r="L34" s="14" t="s">
        <v>272</v>
      </c>
      <c r="M34" s="15" t="s">
        <v>50</v>
      </c>
      <c r="N34" s="14"/>
      <c r="O34" s="14"/>
    </row>
    <row r="35" customFormat="false" ht="23.85" hidden="false" customHeight="false" outlineLevel="0" collapsed="false">
      <c r="A35" s="16" t="s">
        <v>3</v>
      </c>
      <c r="B35" s="14" t="s">
        <v>273</v>
      </c>
      <c r="C35" s="14" t="s">
        <v>8</v>
      </c>
      <c r="D35" s="14" t="s">
        <v>8</v>
      </c>
      <c r="E35" s="14" t="s">
        <v>274</v>
      </c>
      <c r="F35" s="14" t="s">
        <v>275</v>
      </c>
      <c r="G35" s="14" t="s">
        <v>178</v>
      </c>
      <c r="H35" s="14" t="s">
        <v>276</v>
      </c>
      <c r="I35" s="14" t="s">
        <v>116</v>
      </c>
      <c r="J35" s="14" t="s">
        <v>9</v>
      </c>
      <c r="K35" s="14" t="s">
        <v>84</v>
      </c>
      <c r="L35" s="14" t="s">
        <v>277</v>
      </c>
      <c r="M35" s="15" t="s">
        <v>50</v>
      </c>
      <c r="N35" s="14"/>
      <c r="O35" s="14"/>
    </row>
    <row r="36" customFormat="false" ht="23.85" hidden="false" customHeight="false" outlineLevel="0" collapsed="false">
      <c r="A36" s="17" t="s">
        <v>4</v>
      </c>
      <c r="B36" s="14" t="s">
        <v>278</v>
      </c>
      <c r="C36" s="14" t="s">
        <v>7</v>
      </c>
      <c r="D36" s="14" t="s">
        <v>95</v>
      </c>
      <c r="E36" s="14" t="s">
        <v>134</v>
      </c>
      <c r="F36" s="14" t="s">
        <v>279</v>
      </c>
      <c r="G36" s="14" t="s">
        <v>280</v>
      </c>
      <c r="H36" s="14" t="s">
        <v>115</v>
      </c>
      <c r="I36" s="14" t="s">
        <v>281</v>
      </c>
      <c r="J36" s="14" t="s">
        <v>282</v>
      </c>
      <c r="K36" s="14" t="s">
        <v>48</v>
      </c>
      <c r="L36" s="14" t="s">
        <v>283</v>
      </c>
      <c r="M36" s="15" t="s">
        <v>50</v>
      </c>
      <c r="N36" s="14"/>
      <c r="O36" s="14"/>
    </row>
    <row r="37" customFormat="false" ht="23.85" hidden="false" customHeight="false" outlineLevel="0" collapsed="false">
      <c r="A37" s="17" t="s">
        <v>4</v>
      </c>
      <c r="B37" s="14" t="s">
        <v>284</v>
      </c>
      <c r="C37" s="14" t="s">
        <v>7</v>
      </c>
      <c r="D37" s="14" t="s">
        <v>52</v>
      </c>
      <c r="E37" s="14" t="s">
        <v>285</v>
      </c>
      <c r="F37" s="14" t="s">
        <v>286</v>
      </c>
      <c r="G37" s="14" t="s">
        <v>287</v>
      </c>
      <c r="H37" s="14" t="s">
        <v>288</v>
      </c>
      <c r="I37" s="14" t="s">
        <v>116</v>
      </c>
      <c r="J37" s="14" t="s">
        <v>289</v>
      </c>
      <c r="K37" s="14" t="s">
        <v>48</v>
      </c>
      <c r="L37" s="14" t="s">
        <v>290</v>
      </c>
      <c r="M37" s="15" t="s">
        <v>50</v>
      </c>
      <c r="N37" s="14"/>
      <c r="O37" s="14"/>
    </row>
    <row r="38" customFormat="false" ht="15" hidden="false" customHeight="false" outlineLevel="0" collapsed="false">
      <c r="A38" s="17" t="s">
        <v>4</v>
      </c>
      <c r="B38" s="14" t="s">
        <v>291</v>
      </c>
      <c r="C38" s="14" t="s">
        <v>7</v>
      </c>
      <c r="D38" s="14" t="s">
        <v>52</v>
      </c>
      <c r="E38" s="14" t="s">
        <v>292</v>
      </c>
      <c r="F38" s="14" t="s">
        <v>293</v>
      </c>
      <c r="G38" s="14" t="s">
        <v>294</v>
      </c>
      <c r="H38" s="14" t="s">
        <v>295</v>
      </c>
      <c r="I38" s="14" t="s">
        <v>116</v>
      </c>
      <c r="J38" s="14" t="s">
        <v>296</v>
      </c>
      <c r="K38" s="14" t="s">
        <v>206</v>
      </c>
      <c r="L38" s="14" t="s">
        <v>297</v>
      </c>
      <c r="M38" s="15" t="s">
        <v>50</v>
      </c>
      <c r="N38" s="14"/>
      <c r="O38" s="14"/>
    </row>
    <row r="39" customFormat="false" ht="15" hidden="false" customHeight="false" outlineLevel="0" collapsed="false">
      <c r="A39" s="17" t="s">
        <v>4</v>
      </c>
      <c r="B39" s="14" t="s">
        <v>298</v>
      </c>
      <c r="C39" s="14" t="s">
        <v>7</v>
      </c>
      <c r="D39" s="14" t="s">
        <v>103</v>
      </c>
      <c r="E39" s="14" t="s">
        <v>237</v>
      </c>
      <c r="F39" s="14" t="s">
        <v>299</v>
      </c>
      <c r="G39" s="14" t="s">
        <v>211</v>
      </c>
      <c r="H39" s="14" t="s">
        <v>300</v>
      </c>
      <c r="I39" s="14" t="s">
        <v>301</v>
      </c>
      <c r="J39" s="14" t="s">
        <v>289</v>
      </c>
      <c r="K39" s="14" t="s">
        <v>84</v>
      </c>
      <c r="L39" s="14" t="s">
        <v>302</v>
      </c>
      <c r="M39" s="15" t="s">
        <v>50</v>
      </c>
      <c r="N39" s="14"/>
      <c r="O39" s="14"/>
    </row>
    <row r="40" customFormat="false" ht="15" hidden="false" customHeight="false" outlineLevel="0" collapsed="false">
      <c r="A40" s="17" t="s">
        <v>4</v>
      </c>
      <c r="B40" s="14" t="s">
        <v>303</v>
      </c>
      <c r="C40" s="14" t="s">
        <v>7</v>
      </c>
      <c r="D40" s="14" t="s">
        <v>95</v>
      </c>
      <c r="E40" s="14" t="s">
        <v>304</v>
      </c>
      <c r="F40" s="14" t="s">
        <v>305</v>
      </c>
      <c r="G40" s="14" t="s">
        <v>306</v>
      </c>
      <c r="H40" s="14" t="s">
        <v>307</v>
      </c>
      <c r="I40" s="14" t="s">
        <v>308</v>
      </c>
      <c r="J40" s="14" t="s">
        <v>180</v>
      </c>
      <c r="K40" s="14" t="s">
        <v>84</v>
      </c>
      <c r="L40" s="14" t="s">
        <v>309</v>
      </c>
      <c r="M40" s="15" t="s">
        <v>50</v>
      </c>
      <c r="N40" s="14"/>
      <c r="O40" s="14"/>
    </row>
    <row r="41" customFormat="false" ht="15" hidden="false" customHeight="false" outlineLevel="0" collapsed="false">
      <c r="A41" s="17" t="s">
        <v>4</v>
      </c>
      <c r="B41" s="14" t="s">
        <v>310</v>
      </c>
      <c r="C41" s="14" t="s">
        <v>7</v>
      </c>
      <c r="D41" s="14" t="s">
        <v>95</v>
      </c>
      <c r="E41" s="14" t="s">
        <v>311</v>
      </c>
      <c r="F41" s="14" t="s">
        <v>312</v>
      </c>
      <c r="G41" s="14" t="s">
        <v>306</v>
      </c>
      <c r="H41" s="14" t="s">
        <v>245</v>
      </c>
      <c r="I41" s="14" t="s">
        <v>313</v>
      </c>
      <c r="J41" s="14" t="s">
        <v>314</v>
      </c>
      <c r="K41" s="14" t="s">
        <v>206</v>
      </c>
      <c r="L41" s="14" t="s">
        <v>309</v>
      </c>
      <c r="M41" s="15" t="s">
        <v>50</v>
      </c>
      <c r="N41" s="14"/>
      <c r="O41" s="14"/>
    </row>
    <row r="42" customFormat="false" ht="15" hidden="false" customHeight="false" outlineLevel="0" collapsed="false">
      <c r="A42" s="17" t="s">
        <v>4</v>
      </c>
      <c r="B42" s="14" t="s">
        <v>315</v>
      </c>
      <c r="C42" s="14" t="s">
        <v>7</v>
      </c>
      <c r="D42" s="14" t="s">
        <v>95</v>
      </c>
      <c r="E42" s="14" t="s">
        <v>316</v>
      </c>
      <c r="F42" s="14" t="s">
        <v>317</v>
      </c>
      <c r="G42" s="14" t="s">
        <v>306</v>
      </c>
      <c r="H42" s="14" t="s">
        <v>318</v>
      </c>
      <c r="I42" s="14" t="s">
        <v>319</v>
      </c>
      <c r="J42" s="14" t="s">
        <v>194</v>
      </c>
      <c r="K42" s="14" t="s">
        <v>206</v>
      </c>
      <c r="L42" s="14" t="s">
        <v>320</v>
      </c>
      <c r="M42" s="15" t="s">
        <v>50</v>
      </c>
      <c r="N42" s="14"/>
      <c r="O42" s="14"/>
    </row>
    <row r="43" customFormat="false" ht="15" hidden="false" customHeight="false" outlineLevel="0" collapsed="false">
      <c r="A43" s="17" t="s">
        <v>4</v>
      </c>
      <c r="B43" s="14" t="s">
        <v>321</v>
      </c>
      <c r="C43" s="14" t="s">
        <v>7</v>
      </c>
      <c r="D43" s="14" t="s">
        <v>103</v>
      </c>
      <c r="E43" s="14" t="s">
        <v>237</v>
      </c>
      <c r="F43" s="14" t="s">
        <v>244</v>
      </c>
      <c r="G43" s="14" t="s">
        <v>322</v>
      </c>
      <c r="H43" s="14" t="s">
        <v>9</v>
      </c>
      <c r="I43" s="14" t="s">
        <v>116</v>
      </c>
      <c r="J43" s="14" t="s">
        <v>9</v>
      </c>
      <c r="K43" s="14" t="s">
        <v>206</v>
      </c>
      <c r="L43" s="14" t="s">
        <v>323</v>
      </c>
      <c r="M43" s="15" t="s">
        <v>50</v>
      </c>
      <c r="N43" s="14"/>
      <c r="O43" s="14"/>
    </row>
    <row r="44" customFormat="false" ht="15" hidden="false" customHeight="false" outlineLevel="0" collapsed="false">
      <c r="A44" s="17" t="s">
        <v>4</v>
      </c>
      <c r="B44" s="14" t="s">
        <v>324</v>
      </c>
      <c r="C44" s="14" t="s">
        <v>6</v>
      </c>
      <c r="D44" s="14" t="s">
        <v>325</v>
      </c>
      <c r="E44" s="14" t="s">
        <v>326</v>
      </c>
      <c r="F44" s="14" t="s">
        <v>244</v>
      </c>
      <c r="G44" s="14" t="s">
        <v>322</v>
      </c>
      <c r="H44" s="14" t="s">
        <v>9</v>
      </c>
      <c r="I44" s="14" t="s">
        <v>116</v>
      </c>
      <c r="J44" s="14" t="s">
        <v>9</v>
      </c>
      <c r="K44" s="14" t="s">
        <v>206</v>
      </c>
      <c r="L44" s="14" t="s">
        <v>323</v>
      </c>
      <c r="M44" s="15" t="s">
        <v>50</v>
      </c>
      <c r="N44" s="14"/>
      <c r="O44" s="14"/>
    </row>
    <row r="45" customFormat="false" ht="15" hidden="false" customHeight="false" outlineLevel="0" collapsed="false">
      <c r="A45" s="17" t="s">
        <v>4</v>
      </c>
      <c r="B45" s="14" t="s">
        <v>327</v>
      </c>
      <c r="C45" s="14" t="s">
        <v>6</v>
      </c>
      <c r="D45" s="14" t="s">
        <v>183</v>
      </c>
      <c r="E45" s="14" t="s">
        <v>328</v>
      </c>
      <c r="F45" s="14" t="s">
        <v>244</v>
      </c>
      <c r="G45" s="14" t="s">
        <v>322</v>
      </c>
      <c r="H45" s="14" t="s">
        <v>9</v>
      </c>
      <c r="I45" s="14" t="s">
        <v>116</v>
      </c>
      <c r="J45" s="14" t="s">
        <v>9</v>
      </c>
      <c r="K45" s="14" t="s">
        <v>206</v>
      </c>
      <c r="L45" s="14" t="s">
        <v>323</v>
      </c>
      <c r="M45" s="15" t="s">
        <v>50</v>
      </c>
      <c r="N45" s="14"/>
      <c r="O45" s="14"/>
    </row>
    <row r="46" customFormat="false" ht="15" hidden="false" customHeight="false" outlineLevel="0" collapsed="false">
      <c r="A46" s="17" t="s">
        <v>4</v>
      </c>
      <c r="B46" s="14" t="s">
        <v>329</v>
      </c>
      <c r="C46" s="14" t="s">
        <v>6</v>
      </c>
      <c r="D46" s="14" t="s">
        <v>183</v>
      </c>
      <c r="E46" s="14" t="s">
        <v>134</v>
      </c>
      <c r="F46" s="14" t="s">
        <v>244</v>
      </c>
      <c r="G46" s="14" t="s">
        <v>322</v>
      </c>
      <c r="H46" s="14" t="s">
        <v>9</v>
      </c>
      <c r="I46" s="14" t="s">
        <v>116</v>
      </c>
      <c r="J46" s="14" t="s">
        <v>9</v>
      </c>
      <c r="K46" s="14" t="s">
        <v>206</v>
      </c>
      <c r="L46" s="14" t="s">
        <v>323</v>
      </c>
      <c r="M46" s="15" t="s">
        <v>50</v>
      </c>
      <c r="N46" s="14"/>
      <c r="O46" s="14"/>
    </row>
    <row r="47" customFormat="false" ht="15" hidden="false" customHeight="false" outlineLevel="0" collapsed="false">
      <c r="A47" s="17" t="s">
        <v>4</v>
      </c>
      <c r="B47" s="14" t="s">
        <v>330</v>
      </c>
      <c r="C47" s="14" t="s">
        <v>6</v>
      </c>
      <c r="D47" s="14" t="s">
        <v>183</v>
      </c>
      <c r="E47" s="14" t="s">
        <v>331</v>
      </c>
      <c r="F47" s="14" t="s">
        <v>244</v>
      </c>
      <c r="G47" s="14" t="s">
        <v>322</v>
      </c>
      <c r="H47" s="14" t="s">
        <v>9</v>
      </c>
      <c r="I47" s="14" t="s">
        <v>116</v>
      </c>
      <c r="J47" s="14" t="s">
        <v>9</v>
      </c>
      <c r="K47" s="14" t="s">
        <v>206</v>
      </c>
      <c r="L47" s="14" t="s">
        <v>332</v>
      </c>
      <c r="M47" s="15" t="s">
        <v>50</v>
      </c>
      <c r="N47" s="14"/>
      <c r="O47" s="14"/>
    </row>
    <row r="48" customFormat="false" ht="15" hidden="false" customHeight="false" outlineLevel="0" collapsed="false">
      <c r="A48" s="17" t="s">
        <v>4</v>
      </c>
      <c r="B48" s="14" t="s">
        <v>333</v>
      </c>
      <c r="C48" s="14" t="s">
        <v>6</v>
      </c>
      <c r="D48" s="14" t="s">
        <v>183</v>
      </c>
      <c r="E48" s="14" t="s">
        <v>334</v>
      </c>
      <c r="F48" s="14" t="s">
        <v>244</v>
      </c>
      <c r="G48" s="14" t="s">
        <v>322</v>
      </c>
      <c r="H48" s="14" t="s">
        <v>9</v>
      </c>
      <c r="I48" s="14" t="s">
        <v>116</v>
      </c>
      <c r="J48" s="14" t="s">
        <v>9</v>
      </c>
      <c r="K48" s="14" t="s">
        <v>206</v>
      </c>
      <c r="L48" s="14" t="s">
        <v>323</v>
      </c>
      <c r="M48" s="15" t="s">
        <v>50</v>
      </c>
      <c r="N48" s="14"/>
      <c r="O48" s="14"/>
    </row>
    <row r="49" customFormat="false" ht="15" hidden="false" customHeight="false" outlineLevel="0" collapsed="false">
      <c r="A49" s="17" t="s">
        <v>4</v>
      </c>
      <c r="B49" s="14" t="s">
        <v>335</v>
      </c>
      <c r="C49" s="14" t="s">
        <v>6</v>
      </c>
      <c r="D49" s="14" t="s">
        <v>336</v>
      </c>
      <c r="E49" s="14" t="s">
        <v>337</v>
      </c>
      <c r="F49" s="14" t="s">
        <v>244</v>
      </c>
      <c r="G49" s="14" t="s">
        <v>322</v>
      </c>
      <c r="H49" s="14" t="s">
        <v>9</v>
      </c>
      <c r="I49" s="14" t="s">
        <v>116</v>
      </c>
      <c r="J49" s="14" t="s">
        <v>9</v>
      </c>
      <c r="K49" s="14" t="s">
        <v>206</v>
      </c>
      <c r="L49" s="14" t="s">
        <v>323</v>
      </c>
      <c r="M49" s="15" t="s">
        <v>50</v>
      </c>
      <c r="N49" s="14"/>
      <c r="O49" s="14"/>
    </row>
    <row r="50" customFormat="false" ht="15" hidden="false" customHeight="false" outlineLevel="0" collapsed="false">
      <c r="A50" s="17" t="s">
        <v>4</v>
      </c>
      <c r="B50" s="14" t="s">
        <v>338</v>
      </c>
      <c r="C50" s="14" t="s">
        <v>6</v>
      </c>
      <c r="D50" s="14" t="s">
        <v>339</v>
      </c>
      <c r="E50" s="14" t="s">
        <v>340</v>
      </c>
      <c r="F50" s="14" t="s">
        <v>341</v>
      </c>
      <c r="G50" s="14" t="s">
        <v>342</v>
      </c>
      <c r="H50" s="14" t="s">
        <v>343</v>
      </c>
      <c r="I50" s="14" t="s">
        <v>116</v>
      </c>
      <c r="J50" s="14" t="s">
        <v>139</v>
      </c>
      <c r="K50" s="14" t="s">
        <v>84</v>
      </c>
      <c r="L50" s="14" t="s">
        <v>344</v>
      </c>
      <c r="M50" s="15" t="s">
        <v>50</v>
      </c>
      <c r="N50" s="14"/>
      <c r="O50" s="14"/>
    </row>
    <row r="51" customFormat="false" ht="15" hidden="false" customHeight="false" outlineLevel="0" collapsed="false">
      <c r="A51" s="17" t="s">
        <v>4</v>
      </c>
      <c r="B51" s="14" t="s">
        <v>345</v>
      </c>
      <c r="C51" s="14" t="s">
        <v>6</v>
      </c>
      <c r="D51" s="14" t="s">
        <v>346</v>
      </c>
      <c r="E51" s="14" t="s">
        <v>347</v>
      </c>
      <c r="F51" s="14" t="s">
        <v>348</v>
      </c>
      <c r="G51" s="14" t="s">
        <v>349</v>
      </c>
      <c r="H51" s="14" t="s">
        <v>350</v>
      </c>
      <c r="I51" s="14" t="s">
        <v>116</v>
      </c>
      <c r="J51" s="14" t="s">
        <v>9</v>
      </c>
      <c r="K51" s="14" t="s">
        <v>206</v>
      </c>
      <c r="L51" s="14" t="s">
        <v>351</v>
      </c>
      <c r="M51" s="15" t="s">
        <v>50</v>
      </c>
      <c r="N51" s="14"/>
      <c r="O51" s="14"/>
    </row>
    <row r="52" customFormat="false" ht="35.05" hidden="false" customHeight="false" outlineLevel="0" collapsed="false">
      <c r="A52" s="17" t="s">
        <v>4</v>
      </c>
      <c r="B52" s="14" t="s">
        <v>352</v>
      </c>
      <c r="C52" s="14" t="s">
        <v>6</v>
      </c>
      <c r="D52" s="14" t="s">
        <v>353</v>
      </c>
      <c r="E52" s="14" t="s">
        <v>354</v>
      </c>
      <c r="F52" s="14" t="s">
        <v>355</v>
      </c>
      <c r="G52" s="14" t="s">
        <v>356</v>
      </c>
      <c r="H52" s="14" t="s">
        <v>357</v>
      </c>
      <c r="I52" s="14" t="s">
        <v>116</v>
      </c>
      <c r="J52" s="14" t="s">
        <v>139</v>
      </c>
      <c r="K52" s="14" t="s">
        <v>206</v>
      </c>
      <c r="L52" s="14" t="s">
        <v>351</v>
      </c>
      <c r="M52" s="15" t="s">
        <v>50</v>
      </c>
      <c r="N52" s="14"/>
      <c r="O52" s="14"/>
    </row>
    <row r="53" customFormat="false" ht="15" hidden="false" customHeight="false" outlineLevel="0" collapsed="false">
      <c r="A53" s="17" t="s">
        <v>4</v>
      </c>
      <c r="B53" s="14" t="s">
        <v>358</v>
      </c>
      <c r="C53" s="14" t="s">
        <v>6</v>
      </c>
      <c r="D53" s="14" t="s">
        <v>359</v>
      </c>
      <c r="E53" s="14" t="s">
        <v>360</v>
      </c>
      <c r="F53" s="14" t="s">
        <v>361</v>
      </c>
      <c r="G53" s="14" t="s">
        <v>362</v>
      </c>
      <c r="H53" s="14" t="s">
        <v>363</v>
      </c>
      <c r="I53" s="14" t="s">
        <v>116</v>
      </c>
      <c r="J53" s="14" t="s">
        <v>139</v>
      </c>
      <c r="K53" s="14" t="s">
        <v>206</v>
      </c>
      <c r="L53" s="14" t="s">
        <v>351</v>
      </c>
      <c r="M53" s="15" t="s">
        <v>50</v>
      </c>
      <c r="N53" s="14"/>
      <c r="O53" s="14"/>
    </row>
    <row r="54" customFormat="false" ht="15" hidden="false" customHeight="false" outlineLevel="0" collapsed="false">
      <c r="A54" s="17" t="s">
        <v>4</v>
      </c>
      <c r="B54" s="14" t="s">
        <v>364</v>
      </c>
      <c r="C54" s="14" t="s">
        <v>6</v>
      </c>
      <c r="D54" s="14" t="s">
        <v>365</v>
      </c>
      <c r="E54" s="14" t="s">
        <v>237</v>
      </c>
      <c r="F54" s="14" t="s">
        <v>366</v>
      </c>
      <c r="G54" s="14" t="s">
        <v>362</v>
      </c>
      <c r="H54" s="14" t="s">
        <v>363</v>
      </c>
      <c r="I54" s="14" t="s">
        <v>116</v>
      </c>
      <c r="J54" s="14" t="s">
        <v>139</v>
      </c>
      <c r="K54" s="14" t="s">
        <v>206</v>
      </c>
      <c r="L54" s="14" t="s">
        <v>367</v>
      </c>
      <c r="M54" s="15" t="s">
        <v>50</v>
      </c>
      <c r="N54" s="14"/>
      <c r="O54" s="14"/>
    </row>
    <row r="55" customFormat="false" ht="15" hidden="false" customHeight="false" outlineLevel="0" collapsed="false">
      <c r="A55" s="17" t="s">
        <v>4</v>
      </c>
      <c r="B55" s="14" t="s">
        <v>368</v>
      </c>
      <c r="C55" s="14" t="s">
        <v>6</v>
      </c>
      <c r="D55" s="14" t="s">
        <v>183</v>
      </c>
      <c r="E55" s="14" t="s">
        <v>369</v>
      </c>
      <c r="F55" s="14" t="s">
        <v>370</v>
      </c>
      <c r="G55" s="14" t="s">
        <v>356</v>
      </c>
      <c r="H55" s="14" t="s">
        <v>357</v>
      </c>
      <c r="I55" s="14" t="s">
        <v>116</v>
      </c>
      <c r="J55" s="14" t="s">
        <v>139</v>
      </c>
      <c r="K55" s="14" t="s">
        <v>206</v>
      </c>
      <c r="L55" s="14" t="s">
        <v>351</v>
      </c>
      <c r="M55" s="15" t="s">
        <v>50</v>
      </c>
      <c r="N55" s="14"/>
      <c r="O55" s="14"/>
    </row>
    <row r="56" customFormat="false" ht="15" hidden="false" customHeight="false" outlineLevel="0" collapsed="false">
      <c r="A56" s="17" t="s">
        <v>4</v>
      </c>
      <c r="B56" s="14" t="s">
        <v>371</v>
      </c>
      <c r="C56" s="14" t="s">
        <v>6</v>
      </c>
      <c r="D56" s="14" t="s">
        <v>372</v>
      </c>
      <c r="E56" s="14" t="s">
        <v>373</v>
      </c>
      <c r="F56" s="14" t="s">
        <v>374</v>
      </c>
      <c r="G56" s="14" t="s">
        <v>375</v>
      </c>
      <c r="H56" s="14" t="s">
        <v>81</v>
      </c>
      <c r="I56" s="14" t="s">
        <v>116</v>
      </c>
      <c r="J56" s="14" t="s">
        <v>376</v>
      </c>
      <c r="K56" s="14" t="s">
        <v>206</v>
      </c>
      <c r="L56" s="14" t="s">
        <v>377</v>
      </c>
      <c r="M56" s="15" t="s">
        <v>50</v>
      </c>
      <c r="N56" s="14"/>
      <c r="O56" s="14"/>
    </row>
    <row r="57" customFormat="false" ht="15" hidden="false" customHeight="false" outlineLevel="0" collapsed="false">
      <c r="A57" s="17" t="s">
        <v>4</v>
      </c>
      <c r="B57" s="14" t="s">
        <v>378</v>
      </c>
      <c r="C57" s="14" t="s">
        <v>6</v>
      </c>
      <c r="D57" s="14" t="s">
        <v>168</v>
      </c>
      <c r="E57" s="14" t="s">
        <v>120</v>
      </c>
      <c r="F57" s="14" t="s">
        <v>379</v>
      </c>
      <c r="G57" s="14" t="s">
        <v>362</v>
      </c>
      <c r="H57" s="14" t="s">
        <v>146</v>
      </c>
      <c r="I57" s="14" t="s">
        <v>116</v>
      </c>
      <c r="J57" s="14" t="s">
        <v>139</v>
      </c>
      <c r="K57" s="14" t="s">
        <v>206</v>
      </c>
      <c r="L57" s="14" t="s">
        <v>380</v>
      </c>
      <c r="M57" s="15" t="s">
        <v>50</v>
      </c>
      <c r="N57" s="14"/>
      <c r="O57" s="14"/>
    </row>
    <row r="58" customFormat="false" ht="15" hidden="false" customHeight="false" outlineLevel="0" collapsed="false">
      <c r="A58" s="17" t="s">
        <v>4</v>
      </c>
      <c r="B58" s="14" t="s">
        <v>381</v>
      </c>
      <c r="C58" s="14" t="s">
        <v>6</v>
      </c>
      <c r="D58" s="14" t="s">
        <v>168</v>
      </c>
      <c r="E58" s="14" t="s">
        <v>382</v>
      </c>
      <c r="F58" s="14" t="s">
        <v>383</v>
      </c>
      <c r="G58" s="14" t="s">
        <v>178</v>
      </c>
      <c r="H58" s="14" t="s">
        <v>384</v>
      </c>
      <c r="I58" s="14" t="s">
        <v>116</v>
      </c>
      <c r="J58" s="14" t="s">
        <v>385</v>
      </c>
      <c r="K58" s="14" t="s">
        <v>206</v>
      </c>
      <c r="L58" s="14" t="s">
        <v>386</v>
      </c>
      <c r="M58" s="15" t="s">
        <v>50</v>
      </c>
      <c r="N58" s="14"/>
      <c r="O58" s="14"/>
    </row>
    <row r="59" customFormat="false" ht="15" hidden="false" customHeight="false" outlineLevel="0" collapsed="false">
      <c r="A59" s="17" t="s">
        <v>4</v>
      </c>
      <c r="B59" s="14" t="s">
        <v>387</v>
      </c>
      <c r="C59" s="14" t="s">
        <v>6</v>
      </c>
      <c r="D59" s="14" t="s">
        <v>388</v>
      </c>
      <c r="E59" s="14" t="s">
        <v>389</v>
      </c>
      <c r="F59" s="14" t="s">
        <v>390</v>
      </c>
      <c r="G59" s="14" t="s">
        <v>199</v>
      </c>
      <c r="H59" s="14" t="s">
        <v>391</v>
      </c>
      <c r="I59" s="14" t="s">
        <v>116</v>
      </c>
      <c r="J59" s="14" t="s">
        <v>74</v>
      </c>
      <c r="K59" s="14" t="s">
        <v>206</v>
      </c>
      <c r="L59" s="14" t="s">
        <v>392</v>
      </c>
      <c r="M59" s="15" t="s">
        <v>50</v>
      </c>
      <c r="N59" s="14"/>
      <c r="O59" s="14"/>
    </row>
    <row r="60" customFormat="false" ht="23.85" hidden="false" customHeight="false" outlineLevel="0" collapsed="false">
      <c r="A60" s="17" t="s">
        <v>4</v>
      </c>
      <c r="B60" s="14" t="s">
        <v>393</v>
      </c>
      <c r="C60" s="14" t="s">
        <v>6</v>
      </c>
      <c r="D60" s="14" t="s">
        <v>394</v>
      </c>
      <c r="E60" s="14" t="s">
        <v>395</v>
      </c>
      <c r="F60" s="14" t="s">
        <v>396</v>
      </c>
      <c r="G60" s="14" t="s">
        <v>171</v>
      </c>
      <c r="H60" s="14" t="s">
        <v>391</v>
      </c>
      <c r="I60" s="14" t="s">
        <v>116</v>
      </c>
      <c r="J60" s="14" t="s">
        <v>397</v>
      </c>
      <c r="K60" s="14" t="s">
        <v>206</v>
      </c>
      <c r="L60" s="14" t="s">
        <v>398</v>
      </c>
      <c r="M60" s="15" t="s">
        <v>50</v>
      </c>
      <c r="N60" s="14"/>
      <c r="O60" s="14"/>
    </row>
    <row r="61" customFormat="false" ht="15" hidden="false" customHeight="false" outlineLevel="0" collapsed="false">
      <c r="A61" s="17" t="s">
        <v>4</v>
      </c>
      <c r="B61" s="14" t="s">
        <v>399</v>
      </c>
      <c r="C61" s="14" t="s">
        <v>6</v>
      </c>
      <c r="D61" s="14" t="s">
        <v>400</v>
      </c>
      <c r="E61" s="14" t="s">
        <v>401</v>
      </c>
      <c r="F61" s="14" t="s">
        <v>402</v>
      </c>
      <c r="G61" s="14" t="s">
        <v>349</v>
      </c>
      <c r="H61" s="14" t="s">
        <v>403</v>
      </c>
      <c r="I61" s="14" t="s">
        <v>116</v>
      </c>
      <c r="J61" s="14" t="s">
        <v>9</v>
      </c>
      <c r="K61" s="14" t="s">
        <v>206</v>
      </c>
      <c r="L61" s="14" t="s">
        <v>404</v>
      </c>
      <c r="M61" s="15" t="s">
        <v>50</v>
      </c>
      <c r="N61" s="14"/>
      <c r="O61" s="14"/>
    </row>
    <row r="62" customFormat="false" ht="15" hidden="false" customHeight="false" outlineLevel="0" collapsed="false">
      <c r="A62" s="17" t="s">
        <v>4</v>
      </c>
      <c r="B62" s="14" t="s">
        <v>405</v>
      </c>
      <c r="C62" s="14" t="s">
        <v>6</v>
      </c>
      <c r="D62" s="14" t="s">
        <v>406</v>
      </c>
      <c r="E62" s="14" t="s">
        <v>134</v>
      </c>
      <c r="F62" s="14" t="s">
        <v>244</v>
      </c>
      <c r="G62" s="14" t="s">
        <v>178</v>
      </c>
      <c r="H62" s="14" t="s">
        <v>407</v>
      </c>
      <c r="I62" s="14" t="s">
        <v>116</v>
      </c>
      <c r="J62" s="14" t="s">
        <v>9</v>
      </c>
      <c r="K62" s="14" t="s">
        <v>206</v>
      </c>
      <c r="L62" s="14" t="s">
        <v>404</v>
      </c>
      <c r="M62" s="15" t="s">
        <v>50</v>
      </c>
      <c r="N62" s="14"/>
      <c r="O62" s="14"/>
    </row>
  </sheetData>
  <autoFilter ref="A1:O62"/>
  <dataValidations count="1">
    <dataValidation allowBlank="true" errorStyle="stop" operator="between" showDropDown="false" showErrorMessage="false" showInputMessage="false" sqref="N2:N62" type="list">
      <formula1>"Not started,Researching,Contacted,Meeting booked,Not a fit"</formula1>
      <formula2>0</formula2>
    </dataValidation>
  </dataValidations>
  <hyperlinks>
    <hyperlink ref="M2" r:id="rId1" display="Open link"/>
    <hyperlink ref="M3" r:id="rId2" display="Open link"/>
    <hyperlink ref="M4" r:id="rId3" display="Open link"/>
    <hyperlink ref="M5" r:id="rId4" display="Open link"/>
    <hyperlink ref="M6" r:id="rId5" display="Open link"/>
    <hyperlink ref="M7" r:id="rId6" display="Open link"/>
    <hyperlink ref="M8" r:id="rId7" display="Open link"/>
    <hyperlink ref="M9" r:id="rId8" display="Open link"/>
    <hyperlink ref="M10" r:id="rId9" display="Open link"/>
    <hyperlink ref="M11" r:id="rId10" display="Open link"/>
    <hyperlink ref="M12" r:id="rId11" display="Open link"/>
    <hyperlink ref="M13" r:id="rId12" display="Open link"/>
    <hyperlink ref="M14" r:id="rId13" display="Open link"/>
    <hyperlink ref="M15" r:id="rId14" display="Open link"/>
    <hyperlink ref="M16" r:id="rId15" display="Open link"/>
    <hyperlink ref="M17" r:id="rId16" display="Open link"/>
    <hyperlink ref="M18" r:id="rId17" display="Open link"/>
    <hyperlink ref="M19" r:id="rId18" display="Open link"/>
    <hyperlink ref="M20" r:id="rId19" display="Open link"/>
    <hyperlink ref="M21" r:id="rId20" display="Open link"/>
    <hyperlink ref="M22" r:id="rId21" display="Open link"/>
    <hyperlink ref="M23" r:id="rId22" display="Open link"/>
    <hyperlink ref="M24" r:id="rId23" display="Open link"/>
    <hyperlink ref="M25" r:id="rId24" display="Open link"/>
    <hyperlink ref="M26" r:id="rId25" display="Open link"/>
    <hyperlink ref="M27" r:id="rId26" display="Open link"/>
    <hyperlink ref="M28" r:id="rId27" display="Open link"/>
    <hyperlink ref="M29" r:id="rId28" display="Open link"/>
    <hyperlink ref="M30" r:id="rId29" display="Open link"/>
    <hyperlink ref="M31" r:id="rId30" display="Open link"/>
    <hyperlink ref="M32" r:id="rId31" display="Open link"/>
    <hyperlink ref="M33" r:id="rId32" display="Open link"/>
    <hyperlink ref="M34" r:id="rId33" display="Open link"/>
    <hyperlink ref="M35" r:id="rId34" display="Open link"/>
    <hyperlink ref="M36" r:id="rId35" display="Open link"/>
    <hyperlink ref="M37" r:id="rId36" display="Open link"/>
    <hyperlink ref="M38" r:id="rId37" display="Open link"/>
    <hyperlink ref="M39" r:id="rId38" display="Open link"/>
    <hyperlink ref="M40" r:id="rId39" display="Open link"/>
    <hyperlink ref="M41" r:id="rId40" display="Open link"/>
    <hyperlink ref="M42" r:id="rId41" display="Open link"/>
    <hyperlink ref="M43" r:id="rId42" display="Open link"/>
    <hyperlink ref="M44" r:id="rId43" display="Open link"/>
    <hyperlink ref="M45" r:id="rId44" display="Open link"/>
    <hyperlink ref="M46" r:id="rId45" display="Open link"/>
    <hyperlink ref="M47" r:id="rId46" display="Open link"/>
    <hyperlink ref="M48" r:id="rId47" display="Open link"/>
    <hyperlink ref="M49" r:id="rId48" display="Open link"/>
    <hyperlink ref="M50" r:id="rId49" display="Open link"/>
    <hyperlink ref="M51" r:id="rId50" display="Open link"/>
    <hyperlink ref="M52" r:id="rId51" display="Open link"/>
    <hyperlink ref="M53" r:id="rId52" display="Open link"/>
    <hyperlink ref="M54" r:id="rId53" display="Open link"/>
    <hyperlink ref="M55" r:id="rId54" display="Open link"/>
    <hyperlink ref="M56" r:id="rId55" display="Open link"/>
    <hyperlink ref="M57" r:id="rId56" display="Open link"/>
    <hyperlink ref="M58" r:id="rId57" display="Open link"/>
    <hyperlink ref="M59" r:id="rId58" display="Open link"/>
    <hyperlink ref="M60" r:id="rId59" display="Open link"/>
    <hyperlink ref="M61" r:id="rId60" display="Open link"/>
    <hyperlink ref="M62" r:id="rId61" display="Open lin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18"/>
    <col collapsed="false" customWidth="true" hidden="false" outlineLevel="0" max="4" min="4" style="0" width="30"/>
    <col collapsed="false" customWidth="true" hidden="false" outlineLevel="0" max="5" min="5" style="0" width="24"/>
    <col collapsed="false" customWidth="true" hidden="false" outlineLevel="0" max="6" min="6" style="0" width="40"/>
    <col collapsed="false" customWidth="true" hidden="false" outlineLevel="0" max="7" min="7" style="0" width="14"/>
    <col collapsed="false" customWidth="true" hidden="false" outlineLevel="0" max="8" min="8" style="0" width="52"/>
    <col collapsed="false" customWidth="true" hidden="false" outlineLevel="0" max="9" min="9" style="0" width="12"/>
  </cols>
  <sheetData>
    <row r="1" customFormat="false" ht="15" hidden="false" customHeight="false" outlineLevel="0" collapsed="false">
      <c r="A1" s="3" t="s">
        <v>26</v>
      </c>
      <c r="B1" s="3" t="s">
        <v>28</v>
      </c>
      <c r="C1" s="3" t="s">
        <v>29</v>
      </c>
      <c r="D1" s="3" t="s">
        <v>408</v>
      </c>
      <c r="E1" s="3" t="s">
        <v>31</v>
      </c>
      <c r="F1" s="3" t="s">
        <v>409</v>
      </c>
      <c r="G1" s="3" t="s">
        <v>410</v>
      </c>
      <c r="H1" s="3" t="s">
        <v>411</v>
      </c>
      <c r="I1" s="3" t="s">
        <v>37</v>
      </c>
    </row>
    <row r="2" customFormat="false" ht="23.85" hidden="false" customHeight="false" outlineLevel="0" collapsed="false">
      <c r="A2" s="18" t="s">
        <v>412</v>
      </c>
      <c r="B2" s="18" t="s">
        <v>163</v>
      </c>
      <c r="C2" s="18" t="s">
        <v>413</v>
      </c>
      <c r="D2" s="18" t="s">
        <v>414</v>
      </c>
      <c r="E2" s="18" t="s">
        <v>415</v>
      </c>
      <c r="F2" s="18" t="s">
        <v>416</v>
      </c>
      <c r="G2" s="18" t="s">
        <v>417</v>
      </c>
      <c r="H2" s="18" t="s">
        <v>418</v>
      </c>
      <c r="I2" s="19" t="s">
        <v>50</v>
      </c>
    </row>
    <row r="3" customFormat="false" ht="23.85" hidden="false" customHeight="false" outlineLevel="0" collapsed="false">
      <c r="A3" s="18" t="s">
        <v>419</v>
      </c>
      <c r="B3" s="18" t="s">
        <v>41</v>
      </c>
      <c r="C3" s="18" t="s">
        <v>420</v>
      </c>
      <c r="D3" s="18" t="s">
        <v>421</v>
      </c>
      <c r="E3" s="18" t="s">
        <v>422</v>
      </c>
      <c r="F3" s="18" t="s">
        <v>423</v>
      </c>
      <c r="G3" s="18" t="s">
        <v>424</v>
      </c>
      <c r="H3" s="18" t="s">
        <v>425</v>
      </c>
      <c r="I3" s="19" t="s">
        <v>50</v>
      </c>
    </row>
  </sheetData>
  <hyperlinks>
    <hyperlink ref="I2" r:id="rId1" display="Open link"/>
    <hyperlink ref="I3" r:id="rId2" display="Open lin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2026-10-22T22:13:06Z</dcterms:created>
  <dc:creator>openpyxl</dc:creator>
  <dc:description/>
  <dc:language>en-US</dc:language>
  <cp:lastModifiedBy/>
  <dcterms:modified xsi:type="dcterms:W3CDTF">2026-10-22T22:13:06Z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